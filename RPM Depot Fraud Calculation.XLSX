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Depot Fraud\"/>
    </mc:Choice>
  </mc:AlternateContent>
  <bookViews>
    <workbookView xWindow="-108" yWindow="-108" windowWidth="23256" windowHeight="12576" tabRatio="699"/>
  </bookViews>
  <sheets>
    <sheet name="SAP" sheetId="2" r:id="rId1"/>
    <sheet name="Весы 08.11.2023" sheetId="5" r:id="rId2"/>
    <sheet name="Весы 07.11.2023" sheetId="6" r:id="rId3"/>
    <sheet name="Весы 06.11.2023" sheetId="7" r:id="rId4"/>
    <sheet name="Весы 04.11.2023" sheetId="8" r:id="rId5"/>
    <sheet name="Весы 03.11.2023" sheetId="9" r:id="rId6"/>
    <sheet name="Весы 02.11.2023" sheetId="10" r:id="rId7"/>
    <sheet name="Весы 01.11.2023" sheetId="11" r:id="rId8"/>
  </sheets>
  <calcPr calcId="162913"/>
</workbook>
</file>

<file path=xl/calcChain.xml><?xml version="1.0" encoding="utf-8"?>
<calcChain xmlns="http://schemas.openxmlformats.org/spreadsheetml/2006/main">
  <c r="E70" i="2" l="1"/>
  <c r="E213" i="2"/>
  <c r="A168" i="2"/>
  <c r="E181" i="2"/>
  <c r="D181" i="2"/>
  <c r="C181" i="2"/>
  <c r="B181" i="2"/>
  <c r="E153" i="2"/>
  <c r="D153" i="2"/>
  <c r="C153" i="2"/>
  <c r="B153" i="2"/>
  <c r="A153" i="2"/>
  <c r="A76" i="2"/>
  <c r="A72" i="2"/>
  <c r="A34" i="2"/>
  <c r="C136" i="2" l="1"/>
  <c r="A136" i="2"/>
  <c r="B16" i="2"/>
  <c r="C16" i="2"/>
  <c r="B12" i="2"/>
  <c r="C12" i="2"/>
  <c r="B9" i="2"/>
  <c r="C9" i="2"/>
  <c r="B37" i="2"/>
  <c r="C37" i="2"/>
  <c r="B25" i="2"/>
  <c r="C25" i="2"/>
  <c r="B28" i="2"/>
  <c r="C28" i="2"/>
  <c r="B14" i="2"/>
  <c r="C14" i="2"/>
  <c r="B31" i="2"/>
  <c r="B39" i="2"/>
  <c r="C39" i="2"/>
  <c r="B22" i="2"/>
  <c r="C22" i="2"/>
  <c r="B7" i="2"/>
  <c r="C7" i="2"/>
  <c r="B4" i="2"/>
  <c r="C4" i="2"/>
  <c r="C31" i="2"/>
  <c r="B34" i="2"/>
  <c r="B59" i="2"/>
  <c r="B55" i="2"/>
  <c r="B53" i="2"/>
  <c r="C55" i="2"/>
  <c r="C34" i="2"/>
  <c r="B18" i="2"/>
  <c r="C18" i="2"/>
  <c r="C53" i="2"/>
  <c r="C59" i="2"/>
  <c r="B47" i="2"/>
  <c r="C47" i="2"/>
  <c r="B62" i="2"/>
  <c r="C62" i="2"/>
  <c r="B66" i="2"/>
  <c r="B64" i="2"/>
  <c r="B50" i="2"/>
  <c r="C44" i="2"/>
  <c r="B44" i="2"/>
  <c r="C50" i="2"/>
  <c r="C66" i="2"/>
  <c r="C64" i="2"/>
  <c r="B72" i="2"/>
  <c r="D72" i="2" s="1"/>
  <c r="E72" i="2" s="1"/>
  <c r="C72" i="2"/>
  <c r="B85" i="2"/>
  <c r="C85" i="2"/>
  <c r="B97" i="2"/>
  <c r="C97" i="2"/>
  <c r="B136" i="2"/>
  <c r="B104" i="2"/>
  <c r="C104" i="2"/>
  <c r="B83" i="2"/>
  <c r="C83" i="2"/>
  <c r="B107" i="2"/>
  <c r="C107" i="2"/>
  <c r="B109" i="2"/>
  <c r="C109" i="2"/>
  <c r="B80" i="2"/>
  <c r="C80" i="2"/>
  <c r="B99" i="2"/>
  <c r="C99" i="2"/>
  <c r="A99" i="2"/>
  <c r="B90" i="2"/>
  <c r="C90" i="2"/>
  <c r="B74" i="2"/>
  <c r="C74" i="2"/>
  <c r="B93" i="2"/>
  <c r="B87" i="2"/>
  <c r="C87" i="2"/>
  <c r="C93" i="2"/>
  <c r="B76" i="2"/>
  <c r="C76" i="2"/>
  <c r="B139" i="2"/>
  <c r="C139" i="2"/>
  <c r="B112" i="2"/>
  <c r="C112" i="2"/>
  <c r="B122" i="2"/>
  <c r="C122" i="2"/>
  <c r="B126" i="2"/>
  <c r="C126" i="2"/>
  <c r="B130" i="2"/>
  <c r="C130" i="2"/>
  <c r="B133" i="2"/>
  <c r="C133" i="2"/>
  <c r="A406" i="2"/>
  <c r="A269" i="2"/>
  <c r="A217" i="2"/>
  <c r="B157" i="2"/>
  <c r="C157" i="2"/>
  <c r="B187" i="2"/>
  <c r="C187" i="2"/>
  <c r="A193" i="2"/>
  <c r="C146" i="2"/>
  <c r="B146" i="2"/>
  <c r="A146" i="2"/>
  <c r="B147" i="2"/>
  <c r="A171" i="2"/>
  <c r="B193" i="2"/>
  <c r="C193" i="2"/>
  <c r="B163" i="2"/>
  <c r="C163" i="2"/>
  <c r="A181" i="2"/>
  <c r="B177" i="2"/>
  <c r="C177" i="2"/>
  <c r="B174" i="2"/>
  <c r="C174" i="2"/>
  <c r="B149" i="2"/>
  <c r="C149" i="2"/>
  <c r="B160" i="2"/>
  <c r="C160" i="2"/>
  <c r="B171" i="2"/>
  <c r="C171" i="2"/>
  <c r="B165" i="2"/>
  <c r="C165" i="2"/>
  <c r="B185" i="2"/>
  <c r="C185" i="2"/>
  <c r="B209" i="2"/>
  <c r="C209" i="2"/>
  <c r="B190" i="2"/>
  <c r="C190" i="2"/>
  <c r="B168" i="2"/>
  <c r="C168" i="2"/>
  <c r="B196" i="2"/>
  <c r="C196" i="2"/>
  <c r="B206" i="2"/>
  <c r="B203" i="2"/>
  <c r="B201" i="2"/>
  <c r="B199" i="2"/>
  <c r="C199" i="2"/>
  <c r="C206" i="2"/>
  <c r="C203" i="2"/>
  <c r="C201" i="2"/>
  <c r="B234" i="2"/>
  <c r="C234" i="2"/>
  <c r="B227" i="2"/>
  <c r="C227" i="2"/>
  <c r="B231" i="2"/>
  <c r="C231" i="2"/>
  <c r="C223" i="2"/>
  <c r="B223" i="2"/>
  <c r="A223" i="2"/>
  <c r="B217" i="2"/>
  <c r="C217" i="2"/>
  <c r="B236" i="2"/>
  <c r="C236" i="2"/>
  <c r="B239" i="2"/>
  <c r="C239" i="2"/>
  <c r="B242" i="2"/>
  <c r="C242" i="2"/>
  <c r="B244" i="2"/>
  <c r="C244" i="2"/>
  <c r="B220" i="2"/>
  <c r="C220" i="2"/>
  <c r="B215" i="2"/>
  <c r="C215" i="2"/>
  <c r="B256" i="2"/>
  <c r="B252" i="2"/>
  <c r="C256" i="2"/>
  <c r="C252" i="2"/>
  <c r="B248" i="2"/>
  <c r="C248" i="2"/>
  <c r="B292" i="2"/>
  <c r="C292" i="2"/>
  <c r="B289" i="2"/>
  <c r="C289" i="2"/>
  <c r="B301" i="2"/>
  <c r="C301" i="2"/>
  <c r="B280" i="2"/>
  <c r="C280" i="2"/>
  <c r="B266" i="2"/>
  <c r="C266" i="2"/>
  <c r="B276" i="2"/>
  <c r="C276" i="2"/>
  <c r="B298" i="2"/>
  <c r="C298" i="2"/>
  <c r="B286" i="2"/>
  <c r="C286" i="2"/>
  <c r="B273" i="2"/>
  <c r="C273" i="2"/>
  <c r="B303" i="2"/>
  <c r="C303" i="2"/>
  <c r="B306" i="2"/>
  <c r="C306" i="2"/>
  <c r="B295" i="2"/>
  <c r="C295" i="2"/>
  <c r="B325" i="2"/>
  <c r="C325" i="2"/>
  <c r="B321" i="2"/>
  <c r="C321" i="2"/>
  <c r="B313" i="2"/>
  <c r="C313" i="2"/>
  <c r="B318" i="2"/>
  <c r="C318" i="2"/>
  <c r="B329" i="2"/>
  <c r="C329" i="2"/>
  <c r="A329" i="2"/>
  <c r="B269" i="2"/>
  <c r="C269" i="2"/>
  <c r="B283" i="2"/>
  <c r="C283" i="2"/>
  <c r="B309" i="2"/>
  <c r="C309" i="2"/>
  <c r="C346" i="2"/>
  <c r="B346" i="2"/>
  <c r="B371" i="2"/>
  <c r="C371" i="2"/>
  <c r="B340" i="2"/>
  <c r="C340" i="2"/>
  <c r="B334" i="2"/>
  <c r="C334" i="2"/>
  <c r="B337" i="2"/>
  <c r="C337" i="2"/>
  <c r="B343" i="2"/>
  <c r="C343" i="2"/>
  <c r="B363" i="2"/>
  <c r="C363" i="2"/>
  <c r="B374" i="2"/>
  <c r="C374" i="2"/>
  <c r="B369" i="2"/>
  <c r="C369" i="2"/>
  <c r="B361" i="2"/>
  <c r="C361" i="2"/>
  <c r="B366" i="2"/>
  <c r="C366" i="2"/>
  <c r="A366" i="2"/>
  <c r="B355" i="2"/>
  <c r="C355" i="2"/>
  <c r="B358" i="2"/>
  <c r="C358" i="2"/>
  <c r="B389" i="2"/>
  <c r="C389" i="2"/>
  <c r="B349" i="2"/>
  <c r="C349" i="2"/>
  <c r="B393" i="2"/>
  <c r="C393" i="2"/>
  <c r="B352" i="2"/>
  <c r="C352" i="2"/>
  <c r="B379" i="2"/>
  <c r="C379" i="2"/>
  <c r="B384" i="2"/>
  <c r="C384" i="2"/>
  <c r="C381" i="2"/>
  <c r="B381" i="2"/>
  <c r="B387" i="2"/>
  <c r="C387" i="2"/>
  <c r="C397" i="2"/>
  <c r="B397" i="2"/>
  <c r="B399" i="2"/>
  <c r="C399" i="2"/>
  <c r="B410" i="2"/>
  <c r="C410" i="2"/>
  <c r="B434" i="2"/>
  <c r="C434" i="2"/>
  <c r="B457" i="2"/>
  <c r="C457" i="2"/>
  <c r="B419" i="2"/>
  <c r="C419" i="2"/>
  <c r="B422" i="2"/>
  <c r="C422" i="2"/>
  <c r="B404" i="2"/>
  <c r="C404" i="2"/>
  <c r="B414" i="2"/>
  <c r="C414" i="2"/>
  <c r="B416" i="2"/>
  <c r="C416" i="2"/>
  <c r="C428" i="2"/>
  <c r="B428" i="2"/>
  <c r="C454" i="2"/>
  <c r="B454" i="2"/>
  <c r="B451" i="2"/>
  <c r="C451" i="2"/>
  <c r="B431" i="2"/>
  <c r="C431" i="2"/>
  <c r="B440" i="2"/>
  <c r="C440" i="2"/>
  <c r="B437" i="2"/>
  <c r="C437" i="2"/>
  <c r="B425" i="2"/>
  <c r="C425" i="2"/>
  <c r="B406" i="2"/>
  <c r="C406" i="2"/>
  <c r="B442" i="2"/>
  <c r="C442" i="2"/>
  <c r="B461" i="2"/>
  <c r="C461" i="2"/>
  <c r="B463" i="2"/>
  <c r="C463" i="2"/>
  <c r="C466" i="2"/>
  <c r="B466" i="2"/>
  <c r="C469" i="2"/>
  <c r="B469" i="2"/>
  <c r="B471" i="2"/>
  <c r="B474" i="2"/>
  <c r="B477" i="2"/>
  <c r="B479" i="2"/>
  <c r="C471" i="2"/>
  <c r="C474" i="2"/>
  <c r="C477" i="2"/>
  <c r="C479" i="2"/>
  <c r="C485" i="2"/>
  <c r="B485" i="2"/>
  <c r="C487" i="2"/>
  <c r="B487" i="2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A445" i="2"/>
  <c r="A444" i="2"/>
  <c r="A422" i="2"/>
  <c r="A410" i="2"/>
  <c r="A389" i="2"/>
  <c r="A381" i="2"/>
  <c r="A378" i="2"/>
  <c r="A377" i="2"/>
  <c r="A363" i="2"/>
  <c r="A313" i="2"/>
  <c r="A308" i="2"/>
  <c r="A298" i="2"/>
  <c r="A259" i="2"/>
  <c r="A242" i="2"/>
  <c r="A239" i="2"/>
  <c r="A234" i="2"/>
  <c r="A236" i="2"/>
  <c r="A231" i="2"/>
  <c r="A220" i="2"/>
  <c r="A212" i="2"/>
  <c r="A206" i="2"/>
  <c r="A199" i="2"/>
  <c r="A133" i="2"/>
  <c r="A115" i="2"/>
  <c r="A97" i="2"/>
  <c r="A83" i="2"/>
  <c r="A43" i="2"/>
  <c r="A69" i="2"/>
  <c r="A66" i="2"/>
  <c r="A7" i="2"/>
  <c r="A442" i="2"/>
  <c r="A460" i="2"/>
  <c r="A484" i="2"/>
  <c r="A483" i="2"/>
  <c r="A479" i="2"/>
  <c r="A393" i="2"/>
  <c r="A325" i="2"/>
  <c r="A321" i="2"/>
  <c r="A309" i="2"/>
  <c r="A276" i="2"/>
  <c r="A252" i="2"/>
  <c r="A248" i="2"/>
  <c r="A244" i="2"/>
  <c r="A227" i="2"/>
  <c r="A177" i="2"/>
  <c r="A149" i="2"/>
  <c r="A139" i="2"/>
  <c r="A126" i="2"/>
  <c r="A122" i="2"/>
  <c r="A93" i="2"/>
  <c r="A55" i="2"/>
  <c r="A39" i="2"/>
  <c r="A18" i="2"/>
  <c r="A16" i="2"/>
  <c r="A14" i="2"/>
  <c r="A12" i="2"/>
  <c r="A37" i="2"/>
  <c r="A53" i="2"/>
  <c r="A64" i="2"/>
  <c r="A62" i="2"/>
  <c r="A74" i="2"/>
  <c r="A85" i="2"/>
  <c r="A107" i="2"/>
  <c r="A163" i="2"/>
  <c r="A185" i="2"/>
  <c r="A201" i="2"/>
  <c r="A215" i="2"/>
  <c r="A301" i="2"/>
  <c r="A306" i="2"/>
  <c r="A361" i="2"/>
  <c r="A369" i="2"/>
  <c r="A379" i="2"/>
  <c r="A387" i="2"/>
  <c r="A397" i="2"/>
  <c r="A404" i="2"/>
  <c r="A414" i="2"/>
  <c r="A440" i="2"/>
  <c r="A461" i="2"/>
  <c r="A469" i="2"/>
  <c r="A477" i="2"/>
  <c r="A485" i="2"/>
  <c r="A487" i="2"/>
  <c r="A474" i="2"/>
  <c r="A471" i="2"/>
  <c r="A466" i="2"/>
  <c r="A463" i="2"/>
  <c r="A454" i="2"/>
  <c r="A457" i="2"/>
  <c r="A451" i="2"/>
  <c r="A437" i="2"/>
  <c r="A434" i="2"/>
  <c r="A431" i="2"/>
  <c r="A428" i="2"/>
  <c r="A425" i="2"/>
  <c r="A419" i="2"/>
  <c r="A416" i="2"/>
  <c r="A399" i="2"/>
  <c r="A384" i="2"/>
  <c r="A374" i="2"/>
  <c r="A371" i="2"/>
  <c r="A358" i="2"/>
  <c r="A355" i="2"/>
  <c r="A352" i="2"/>
  <c r="A349" i="2"/>
  <c r="A346" i="2"/>
  <c r="A343" i="2"/>
  <c r="A340" i="2"/>
  <c r="A337" i="2"/>
  <c r="A334" i="2"/>
  <c r="A318" i="2"/>
  <c r="A303" i="2"/>
  <c r="A295" i="2"/>
  <c r="A292" i="2"/>
  <c r="A289" i="2"/>
  <c r="A286" i="2"/>
  <c r="A283" i="2"/>
  <c r="A280" i="2"/>
  <c r="A273" i="2"/>
  <c r="A266" i="2"/>
  <c r="A256" i="2"/>
  <c r="A209" i="2"/>
  <c r="A203" i="2"/>
  <c r="A196" i="2"/>
  <c r="A190" i="2"/>
  <c r="A187" i="2"/>
  <c r="A174" i="2"/>
  <c r="A160" i="2"/>
  <c r="A165" i="2"/>
  <c r="A157" i="2"/>
  <c r="A130" i="2"/>
  <c r="A112" i="2"/>
  <c r="A109" i="2"/>
  <c r="A104" i="2"/>
  <c r="A90" i="2"/>
  <c r="A87" i="2"/>
  <c r="A80" i="2"/>
  <c r="A59" i="2"/>
  <c r="A50" i="2"/>
  <c r="A47" i="2"/>
  <c r="A44" i="2"/>
  <c r="A31" i="2"/>
  <c r="A28" i="2"/>
  <c r="A25" i="2"/>
  <c r="A22" i="2"/>
  <c r="A9" i="2"/>
  <c r="A4" i="2"/>
  <c r="E74" i="2" l="1"/>
  <c r="D59" i="2"/>
  <c r="E59" i="2" s="1"/>
  <c r="D136" i="2"/>
  <c r="E136" i="2" s="1"/>
  <c r="D66" i="2"/>
  <c r="E66" i="2" s="1"/>
  <c r="D25" i="2"/>
  <c r="E25" i="2" s="1"/>
  <c r="D80" i="2"/>
  <c r="E80" i="2" s="1"/>
  <c r="D133" i="2"/>
  <c r="E133" i="2" s="1"/>
  <c r="D12" i="2"/>
  <c r="E12" i="2" s="1"/>
  <c r="D139" i="2"/>
  <c r="E139" i="2" s="1"/>
  <c r="D31" i="2"/>
  <c r="E31" i="2" s="1"/>
  <c r="D44" i="2"/>
  <c r="E44" i="2" s="1"/>
  <c r="D126" i="2"/>
  <c r="E126" i="2" s="1"/>
  <c r="D50" i="2"/>
  <c r="E50" i="2" s="1"/>
  <c r="D22" i="2"/>
  <c r="E22" i="2" s="1"/>
  <c r="D130" i="2"/>
  <c r="E130" i="2" s="1"/>
  <c r="D62" i="2"/>
  <c r="E62" i="2" s="1"/>
  <c r="D34" i="2"/>
  <c r="E34" i="2" s="1"/>
  <c r="D122" i="2"/>
  <c r="E122" i="2" s="1"/>
  <c r="D107" i="2"/>
  <c r="E107" i="2" s="1"/>
  <c r="D85" i="2"/>
  <c r="E85" i="2" s="1"/>
  <c r="D112" i="2"/>
  <c r="E112" i="2" s="1"/>
  <c r="D18" i="2"/>
  <c r="E18" i="2" s="1"/>
  <c r="D39" i="2"/>
  <c r="E39" i="2" s="1"/>
  <c r="D16" i="2"/>
  <c r="E16" i="2" s="1"/>
  <c r="D76" i="2"/>
  <c r="E76" i="2" s="1"/>
  <c r="D90" i="2"/>
  <c r="E90" i="2" s="1"/>
  <c r="D109" i="2"/>
  <c r="E109" i="2" s="1"/>
  <c r="D47" i="2"/>
  <c r="E47" i="2" s="1"/>
  <c r="D74" i="2"/>
  <c r="D83" i="2"/>
  <c r="E83" i="2" s="1"/>
  <c r="D9" i="2"/>
  <c r="E9" i="2" s="1"/>
  <c r="D97" i="2"/>
  <c r="E97" i="2" s="1"/>
  <c r="D104" i="2"/>
  <c r="E104" i="2" s="1"/>
  <c r="D28" i="2"/>
  <c r="E28" i="2" s="1"/>
  <c r="D4" i="2"/>
  <c r="E4" i="2" s="1"/>
  <c r="D64" i="2"/>
  <c r="E64" i="2" s="1"/>
  <c r="D87" i="2"/>
  <c r="E87" i="2" s="1"/>
  <c r="D99" i="2"/>
  <c r="E99" i="2" s="1"/>
  <c r="D53" i="2"/>
  <c r="E53" i="2" s="1"/>
  <c r="D37" i="2"/>
  <c r="E37" i="2" s="1"/>
  <c r="D93" i="2"/>
  <c r="E93" i="2" s="1"/>
  <c r="D55" i="2"/>
  <c r="E55" i="2" s="1"/>
  <c r="D7" i="2"/>
  <c r="E7" i="2" s="1"/>
  <c r="D14" i="2"/>
  <c r="E14" i="2" s="1"/>
  <c r="D269" i="2"/>
  <c r="E269" i="2" s="1"/>
  <c r="D187" i="2"/>
  <c r="E187" i="2" s="1"/>
  <c r="D209" i="2"/>
  <c r="E209" i="2" s="1"/>
  <c r="D206" i="2"/>
  <c r="E206" i="2" s="1"/>
  <c r="D252" i="2"/>
  <c r="E252" i="2" s="1"/>
  <c r="D157" i="2"/>
  <c r="E157" i="2" s="1"/>
  <c r="D146" i="2"/>
  <c r="E146" i="2" s="1"/>
  <c r="D231" i="2"/>
  <c r="E231" i="2" s="1"/>
  <c r="D199" i="2"/>
  <c r="E199" i="2" s="1"/>
  <c r="D227" i="2"/>
  <c r="E227" i="2" s="1"/>
  <c r="D244" i="2"/>
  <c r="E244" i="2" s="1"/>
  <c r="D217" i="2"/>
  <c r="E217" i="2" s="1"/>
  <c r="D193" i="2"/>
  <c r="E193" i="2" s="1"/>
  <c r="D171" i="2"/>
  <c r="E171" i="2" s="1"/>
  <c r="D215" i="2"/>
  <c r="E215" i="2" s="1"/>
  <c r="D196" i="2"/>
  <c r="E196" i="2" s="1"/>
  <c r="D160" i="2"/>
  <c r="E160" i="2" s="1"/>
  <c r="D248" i="2"/>
  <c r="E248" i="2" s="1"/>
  <c r="D220" i="2"/>
  <c r="E220" i="2" s="1"/>
  <c r="D185" i="2"/>
  <c r="E185" i="2" s="1"/>
  <c r="D149" i="2"/>
  <c r="E149" i="2" s="1"/>
  <c r="D163" i="2"/>
  <c r="E163" i="2" s="1"/>
  <c r="D165" i="2"/>
  <c r="E165" i="2" s="1"/>
  <c r="D203" i="2"/>
  <c r="E203" i="2" s="1"/>
  <c r="D303" i="2"/>
  <c r="E303" i="2" s="1"/>
  <c r="D276" i="2"/>
  <c r="E276" i="2" s="1"/>
  <c r="D289" i="2"/>
  <c r="E289" i="2" s="1"/>
  <c r="D190" i="2"/>
  <c r="E190" i="2" s="1"/>
  <c r="D256" i="2"/>
  <c r="E256" i="2" s="1"/>
  <c r="D223" i="2"/>
  <c r="E223" i="2" s="1"/>
  <c r="D177" i="2"/>
  <c r="E177" i="2" s="1"/>
  <c r="D168" i="2"/>
  <c r="E168" i="2" s="1"/>
  <c r="D242" i="2"/>
  <c r="E242" i="2" s="1"/>
  <c r="D234" i="2"/>
  <c r="E234" i="2" s="1"/>
  <c r="D201" i="2"/>
  <c r="E201" i="2" s="1"/>
  <c r="D286" i="2"/>
  <c r="E286" i="2" s="1"/>
  <c r="D239" i="2"/>
  <c r="E239" i="2" s="1"/>
  <c r="D174" i="2"/>
  <c r="E174" i="2" s="1"/>
  <c r="D236" i="2"/>
  <c r="E236" i="2" s="1"/>
  <c r="D321" i="2"/>
  <c r="E321" i="2" s="1"/>
  <c r="D325" i="2"/>
  <c r="E325" i="2" s="1"/>
  <c r="D266" i="2"/>
  <c r="E266" i="2" s="1"/>
  <c r="D292" i="2"/>
  <c r="E292" i="2" s="1"/>
  <c r="D487" i="2"/>
  <c r="E487" i="2" s="1"/>
  <c r="D425" i="2"/>
  <c r="E425" i="2" s="1"/>
  <c r="D283" i="2"/>
  <c r="E283" i="2" s="1"/>
  <c r="D313" i="2"/>
  <c r="E313" i="2" s="1"/>
  <c r="D295" i="2"/>
  <c r="E295" i="2" s="1"/>
  <c r="D280" i="2"/>
  <c r="E280" i="2" s="1"/>
  <c r="D485" i="2"/>
  <c r="E485" i="2" s="1"/>
  <c r="D469" i="2"/>
  <c r="E469" i="2" s="1"/>
  <c r="D349" i="2"/>
  <c r="E349" i="2" s="1"/>
  <c r="D437" i="2"/>
  <c r="E437" i="2" s="1"/>
  <c r="D404" i="2"/>
  <c r="E404" i="2" s="1"/>
  <c r="D434" i="2"/>
  <c r="E434" i="2" s="1"/>
  <c r="D387" i="2"/>
  <c r="E387" i="2" s="1"/>
  <c r="D358" i="2"/>
  <c r="E358" i="2" s="1"/>
  <c r="D306" i="2"/>
  <c r="E306" i="2" s="1"/>
  <c r="D298" i="2"/>
  <c r="E298" i="2" s="1"/>
  <c r="D440" i="2"/>
  <c r="E440" i="2" s="1"/>
  <c r="D422" i="2"/>
  <c r="E422" i="2" s="1"/>
  <c r="D410" i="2"/>
  <c r="E410" i="2" s="1"/>
  <c r="D309" i="2"/>
  <c r="E309" i="2" s="1"/>
  <c r="D329" i="2"/>
  <c r="E329" i="2" s="1"/>
  <c r="D301" i="2"/>
  <c r="E301" i="2" s="1"/>
  <c r="D431" i="2"/>
  <c r="E431" i="2" s="1"/>
  <c r="D318" i="2"/>
  <c r="E318" i="2" s="1"/>
  <c r="D273" i="2"/>
  <c r="E273" i="2" s="1"/>
  <c r="D451" i="2"/>
  <c r="E451" i="2" s="1"/>
  <c r="D389" i="2"/>
  <c r="E389" i="2" s="1"/>
  <c r="D361" i="2"/>
  <c r="E361" i="2" s="1"/>
  <c r="D381" i="2"/>
  <c r="E381" i="2" s="1"/>
  <c r="D346" i="2"/>
  <c r="E346" i="2" s="1"/>
  <c r="D477" i="2"/>
  <c r="E477" i="2" s="1"/>
  <c r="D414" i="2"/>
  <c r="E414" i="2" s="1"/>
  <c r="D397" i="2"/>
  <c r="E397" i="2" s="1"/>
  <c r="D374" i="2"/>
  <c r="E374" i="2" s="1"/>
  <c r="D471" i="2"/>
  <c r="E471" i="2" s="1"/>
  <c r="D461" i="2"/>
  <c r="E461" i="2" s="1"/>
  <c r="D454" i="2"/>
  <c r="E454" i="2" s="1"/>
  <c r="D363" i="2"/>
  <c r="E363" i="2" s="1"/>
  <c r="D428" i="2"/>
  <c r="E428" i="2" s="1"/>
  <c r="D343" i="2"/>
  <c r="E343" i="2" s="1"/>
  <c r="D371" i="2"/>
  <c r="E371" i="2" s="1"/>
  <c r="D419" i="2"/>
  <c r="E419" i="2" s="1"/>
  <c r="D352" i="2"/>
  <c r="E352" i="2" s="1"/>
  <c r="D340" i="2"/>
  <c r="E340" i="2" s="1"/>
  <c r="D466" i="2"/>
  <c r="E466" i="2" s="1"/>
  <c r="D442" i="2"/>
  <c r="E442" i="2" s="1"/>
  <c r="D457" i="2"/>
  <c r="E457" i="2" s="1"/>
  <c r="D399" i="2"/>
  <c r="E399" i="2" s="1"/>
  <c r="D393" i="2"/>
  <c r="E393" i="2" s="1"/>
  <c r="D355" i="2"/>
  <c r="E355" i="2" s="1"/>
  <c r="D369" i="2"/>
  <c r="E369" i="2" s="1"/>
  <c r="D406" i="2"/>
  <c r="E406" i="2" s="1"/>
  <c r="D384" i="2"/>
  <c r="E384" i="2" s="1"/>
  <c r="D337" i="2"/>
  <c r="E337" i="2" s="1"/>
  <c r="D416" i="2"/>
  <c r="E416" i="2" s="1"/>
  <c r="D379" i="2"/>
  <c r="E379" i="2" s="1"/>
  <c r="D366" i="2"/>
  <c r="E366" i="2" s="1"/>
  <c r="D334" i="2"/>
  <c r="E334" i="2" s="1"/>
  <c r="D479" i="2"/>
  <c r="E479" i="2" s="1"/>
  <c r="D474" i="2"/>
  <c r="E474" i="2" s="1"/>
  <c r="D463" i="2"/>
  <c r="E463" i="2" s="1"/>
  <c r="E490" i="2" l="1"/>
  <c r="E143" i="2"/>
  <c r="E332" i="2"/>
  <c r="E264" i="2"/>
</calcChain>
</file>

<file path=xl/sharedStrings.xml><?xml version="1.0" encoding="utf-8"?>
<sst xmlns="http://schemas.openxmlformats.org/spreadsheetml/2006/main" count="9480" uniqueCount="1468">
  <si>
    <t>M002</t>
  </si>
  <si>
    <t>33ME510000</t>
  </si>
  <si>
    <t>EURO 5 DIESEL</t>
  </si>
  <si>
    <t>MD18</t>
  </si>
  <si>
    <t>Depozit Chisinau</t>
  </si>
  <si>
    <t>SDZ578 / V193LG</t>
  </si>
  <si>
    <t>Andezit SRL</t>
  </si>
  <si>
    <t/>
  </si>
  <si>
    <t>2023</t>
  </si>
  <si>
    <t>0</t>
  </si>
  <si>
    <t>751,50</t>
  </si>
  <si>
    <t>31EPS10B00</t>
  </si>
  <si>
    <t>EURO PLUS GASOLINE</t>
  </si>
  <si>
    <t>KBC073 / A012AB</t>
  </si>
  <si>
    <t>Puiu V.</t>
  </si>
  <si>
    <t>743,00</t>
  </si>
  <si>
    <t>31EFX10B00</t>
  </si>
  <si>
    <t>EFIX 95 GASOLINE</t>
  </si>
  <si>
    <t>AAK103 / V203LG</t>
  </si>
  <si>
    <t>Casap A.</t>
  </si>
  <si>
    <t>33EFX10B00</t>
  </si>
  <si>
    <t>51 EFIX DIESEL</t>
  </si>
  <si>
    <t>NSAR887 /</t>
  </si>
  <si>
    <t>Vero Nadina SRL</t>
  </si>
  <si>
    <t>Secrieru N.</t>
  </si>
  <si>
    <t>744,50</t>
  </si>
  <si>
    <t>749,50</t>
  </si>
  <si>
    <t>751,00</t>
  </si>
  <si>
    <t>SPK940 / NSAB055</t>
  </si>
  <si>
    <t>Frunze M.</t>
  </si>
  <si>
    <t>750,00</t>
  </si>
  <si>
    <t>831,00</t>
  </si>
  <si>
    <t>NSAL703 / I854WW</t>
  </si>
  <si>
    <t>17,00</t>
  </si>
  <si>
    <t>Zghibart V.</t>
  </si>
  <si>
    <t>835,00</t>
  </si>
  <si>
    <t>18,00</t>
  </si>
  <si>
    <t>832,00</t>
  </si>
  <si>
    <t>833,50</t>
  </si>
  <si>
    <t>15,00</t>
  </si>
  <si>
    <t>AAK104 / V186LG</t>
  </si>
  <si>
    <t>Briceag T.</t>
  </si>
  <si>
    <t>749,00</t>
  </si>
  <si>
    <t>748,00</t>
  </si>
  <si>
    <t>CRV580 / X199XC</t>
  </si>
  <si>
    <t>Gusan I.</t>
  </si>
  <si>
    <t>LUQ250 / NSAB041</t>
  </si>
  <si>
    <t>Postolache V.</t>
  </si>
  <si>
    <t>16,00</t>
  </si>
  <si>
    <t>14,00</t>
  </si>
  <si>
    <t>835,50</t>
  </si>
  <si>
    <t>12,00</t>
  </si>
  <si>
    <t>837,50</t>
  </si>
  <si>
    <t>746,00</t>
  </si>
  <si>
    <t>746,50</t>
  </si>
  <si>
    <t>13,00</t>
  </si>
  <si>
    <t>834,50</t>
  </si>
  <si>
    <t>M005</t>
  </si>
  <si>
    <t>RTL069 / I870WW</t>
  </si>
  <si>
    <t>Cobzac A.</t>
  </si>
  <si>
    <t>RTL067 / NSAA982</t>
  </si>
  <si>
    <t>Batog S.</t>
  </si>
  <si>
    <t>834,00</t>
  </si>
  <si>
    <t>833,00</t>
  </si>
  <si>
    <t>747,00</t>
  </si>
  <si>
    <t>AAB014 / A014AB</t>
  </si>
  <si>
    <t>Cioban V.</t>
  </si>
  <si>
    <t>832,50</t>
  </si>
  <si>
    <t>836,00</t>
  </si>
  <si>
    <t>831,50</t>
  </si>
  <si>
    <t>ROQ228 / NSAA703</t>
  </si>
  <si>
    <t>Buruian A.</t>
  </si>
  <si>
    <t>745,00</t>
  </si>
  <si>
    <t>11,00</t>
  </si>
  <si>
    <t>840,50</t>
  </si>
  <si>
    <t>10,00</t>
  </si>
  <si>
    <t>M006</t>
  </si>
  <si>
    <t>Lupei M.</t>
  </si>
  <si>
    <t>LML975 / I855WW</t>
  </si>
  <si>
    <t>Robu V.</t>
  </si>
  <si>
    <t>ZUF701 / A854AB</t>
  </si>
  <si>
    <t>Rebeja T.</t>
  </si>
  <si>
    <t>830,50</t>
  </si>
  <si>
    <t>WHU512 / X427XC</t>
  </si>
  <si>
    <t>EFQ386 / M531RZ</t>
  </si>
  <si>
    <t>838,00</t>
  </si>
  <si>
    <t>YZA740 / Y701CQ</t>
  </si>
  <si>
    <t>Flentea S.</t>
  </si>
  <si>
    <t>750,50</t>
  </si>
  <si>
    <t>Conesovschi V.</t>
  </si>
  <si>
    <t>839,00</t>
  </si>
  <si>
    <t>QWD537 / E385RS</t>
  </si>
  <si>
    <t>Varzaru M.</t>
  </si>
  <si>
    <t>753,00</t>
  </si>
  <si>
    <t>840,00</t>
  </si>
  <si>
    <t>837,00</t>
  </si>
  <si>
    <t>HWN034 / T289NJ</t>
  </si>
  <si>
    <t>Buga I.</t>
  </si>
  <si>
    <t>STK276 / V025TQ</t>
  </si>
  <si>
    <t>Chirilov I.</t>
  </si>
  <si>
    <t>M007</t>
  </si>
  <si>
    <t>AAB012 / U026TQ</t>
  </si>
  <si>
    <t>Popa S.</t>
  </si>
  <si>
    <t>745,50</t>
  </si>
  <si>
    <t>WJS336 / I320WW</t>
  </si>
  <si>
    <t>Cheptea N.</t>
  </si>
  <si>
    <t>743,50</t>
  </si>
  <si>
    <t>FGT903 / A331AB</t>
  </si>
  <si>
    <t>Capatina G.</t>
  </si>
  <si>
    <t>752,00</t>
  </si>
  <si>
    <t>IEV867 /</t>
  </si>
  <si>
    <t>Calaras A.</t>
  </si>
  <si>
    <t>M008</t>
  </si>
  <si>
    <t>Triboi Gh.</t>
  </si>
  <si>
    <t>744,00</t>
  </si>
  <si>
    <t>Vrabie Gh.</t>
  </si>
  <si>
    <t>31EFXS10B0</t>
  </si>
  <si>
    <t>EFIX S 98 GASOLINE</t>
  </si>
  <si>
    <t>DUX154 / I699WW</t>
  </si>
  <si>
    <t>Sofroni E.</t>
  </si>
  <si>
    <t>755,00</t>
  </si>
  <si>
    <t>839,50</t>
  </si>
  <si>
    <t>LML269 / N173TN</t>
  </si>
  <si>
    <t>Esanu V.</t>
  </si>
  <si>
    <t>33EFXS10B0</t>
  </si>
  <si>
    <t>55 EFIX S DIESEL</t>
  </si>
  <si>
    <t>M009</t>
  </si>
  <si>
    <t>754,00</t>
  </si>
  <si>
    <t>747,50</t>
  </si>
  <si>
    <t>836,50</t>
  </si>
  <si>
    <t>842,00</t>
  </si>
  <si>
    <t>CRV530 / V189LG</t>
  </si>
  <si>
    <t>Brodescu A.</t>
  </si>
  <si>
    <t>843,00</t>
  </si>
  <si>
    <t>M010</t>
  </si>
  <si>
    <t>748,80</t>
  </si>
  <si>
    <t>743,20</t>
  </si>
  <si>
    <t>749,90</t>
  </si>
  <si>
    <t>9,00</t>
  </si>
  <si>
    <t>838,50</t>
  </si>
  <si>
    <t>18,30</t>
  </si>
  <si>
    <t>753,50</t>
  </si>
  <si>
    <t>842,50</t>
  </si>
  <si>
    <t>16,20</t>
  </si>
  <si>
    <t>844,00</t>
  </si>
  <si>
    <t>M011</t>
  </si>
  <si>
    <t>ZGO801 / I175WW</t>
  </si>
  <si>
    <t>Drapac S.</t>
  </si>
  <si>
    <t>752,50</t>
  </si>
  <si>
    <t>M012</t>
  </si>
  <si>
    <t>841,00</t>
  </si>
  <si>
    <t>M013</t>
  </si>
  <si>
    <t>M015</t>
  </si>
  <si>
    <t>754,50</t>
  </si>
  <si>
    <t>845,50</t>
  </si>
  <si>
    <t>843,50</t>
  </si>
  <si>
    <t>M016</t>
  </si>
  <si>
    <t>M017</t>
  </si>
  <si>
    <t>756,00</t>
  </si>
  <si>
    <t>M018</t>
  </si>
  <si>
    <t>STK273 / H119TZ</t>
  </si>
  <si>
    <t>Lungu V.</t>
  </si>
  <si>
    <t>22,50</t>
  </si>
  <si>
    <t>22,60</t>
  </si>
  <si>
    <t>844,50</t>
  </si>
  <si>
    <t>BWX232 / T521NJ</t>
  </si>
  <si>
    <t>841,50</t>
  </si>
  <si>
    <t>M019</t>
  </si>
  <si>
    <t>845,00</t>
  </si>
  <si>
    <t>M020</t>
  </si>
  <si>
    <t>22,30</t>
  </si>
  <si>
    <t>M022</t>
  </si>
  <si>
    <t>M023</t>
  </si>
  <si>
    <t>M025</t>
  </si>
  <si>
    <t>XXC038 / M607VI</t>
  </si>
  <si>
    <t>DWP433 / N974TN</t>
  </si>
  <si>
    <t>M026</t>
  </si>
  <si>
    <t>M028</t>
  </si>
  <si>
    <t>M029</t>
  </si>
  <si>
    <t>M030</t>
  </si>
  <si>
    <t>M031</t>
  </si>
  <si>
    <t>M033</t>
  </si>
  <si>
    <t>M034</t>
  </si>
  <si>
    <t>M035</t>
  </si>
  <si>
    <t>742,90</t>
  </si>
  <si>
    <t>Conesovschii V.</t>
  </si>
  <si>
    <t>M036</t>
  </si>
  <si>
    <t>M038</t>
  </si>
  <si>
    <t>M039</t>
  </si>
  <si>
    <t>M040</t>
  </si>
  <si>
    <t>M041</t>
  </si>
  <si>
    <t>M043</t>
  </si>
  <si>
    <t>M044</t>
  </si>
  <si>
    <t>M046</t>
  </si>
  <si>
    <t>M047</t>
  </si>
  <si>
    <t>M048</t>
  </si>
  <si>
    <t>M049</t>
  </si>
  <si>
    <t>M050</t>
  </si>
  <si>
    <t>M051</t>
  </si>
  <si>
    <t>M052</t>
  </si>
  <si>
    <t>M054</t>
  </si>
  <si>
    <t>M055</t>
  </si>
  <si>
    <t>M056</t>
  </si>
  <si>
    <t>M057</t>
  </si>
  <si>
    <t>M058</t>
  </si>
  <si>
    <t>Gutanu A.</t>
  </si>
  <si>
    <t>M060</t>
  </si>
  <si>
    <t>743,90</t>
  </si>
  <si>
    <t>21,30</t>
  </si>
  <si>
    <t>M061</t>
  </si>
  <si>
    <t>M062</t>
  </si>
  <si>
    <t>M063</t>
  </si>
  <si>
    <t>M064</t>
  </si>
  <si>
    <t>M065</t>
  </si>
  <si>
    <t>M066</t>
  </si>
  <si>
    <t>M067</t>
  </si>
  <si>
    <t>M068</t>
  </si>
  <si>
    <t>M070</t>
  </si>
  <si>
    <t>M071</t>
  </si>
  <si>
    <t>BWX227 / T514NJ</t>
  </si>
  <si>
    <t>Cernat A.</t>
  </si>
  <si>
    <t>M072</t>
  </si>
  <si>
    <t>NWX833 / Z282PT</t>
  </si>
  <si>
    <t>Grosu V.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</si>
  <si>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</si>
  <si>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</si>
  <si>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</si>
  <si>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</si>
  <si>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</si>
  <si>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</si>
  <si>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</si>
  <si>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</si>
  <si>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</si>
  <si>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M083</t>
  </si>
  <si>
    <t>M084</t>
  </si>
  <si>
    <t>M085</t>
  </si>
  <si>
    <t>742,80</t>
  </si>
  <si>
    <t>M086</t>
  </si>
  <si>
    <t>22,20</t>
  </si>
  <si>
    <t>M087</t>
  </si>
  <si>
    <t>M088</t>
  </si>
  <si>
    <t>M089</t>
  </si>
  <si>
    <t>M090</t>
  </si>
  <si>
    <t>Begu V.</t>
  </si>
  <si>
    <t>M091</t>
  </si>
  <si>
    <t>M092</t>
  </si>
  <si>
    <t>M093</t>
  </si>
  <si>
    <t>M094</t>
  </si>
  <si>
    <t>M095</t>
  </si>
  <si>
    <t>21,40</t>
  </si>
  <si>
    <t>746,20</t>
  </si>
  <si>
    <t>M096</t>
  </si>
  <si>
    <t>749,10</t>
  </si>
  <si>
    <t>15,20</t>
  </si>
  <si>
    <t>846,00</t>
  </si>
  <si>
    <t>M097</t>
  </si>
  <si>
    <t>M098</t>
  </si>
  <si>
    <t>M099</t>
  </si>
  <si>
    <t>M100</t>
  </si>
  <si>
    <t>M101</t>
  </si>
  <si>
    <t>Cioban v.</t>
  </si>
  <si>
    <t>M102</t>
  </si>
  <si>
    <t>M103</t>
  </si>
  <si>
    <t>M104</t>
  </si>
  <si>
    <t>M105</t>
  </si>
  <si>
    <t>Loading Quantity - Litres</t>
  </si>
  <si>
    <t>Шаблон отчета с группировкой по складам</t>
  </si>
  <si>
    <t>за период
по контрагенту
по перевозчику
по материалу
по складу
по транспорту
по направлению</t>
  </si>
  <si>
    <t>08.11.2023-08.11.2023
&lt;ВСЕ&gt;
&lt;ВСЕ&gt;
&lt;ВСЕ&gt;
&lt;ВСЕ&gt;
&lt;ВСЕ&gt;
&lt;Любое&gt;</t>
  </si>
  <si>
    <t>Дата создания</t>
  </si>
  <si>
    <t>Номер</t>
  </si>
  <si>
    <t>Накладная</t>
  </si>
  <si>
    <t>Брутто</t>
  </si>
  <si>
    <t>Тара</t>
  </si>
  <si>
    <t>Получено</t>
  </si>
  <si>
    <t>Отпущено</t>
  </si>
  <si>
    <t>Разница кг</t>
  </si>
  <si>
    <t>Контрагент</t>
  </si>
  <si>
    <t>Склад</t>
  </si>
  <si>
    <t>Перевозчик</t>
  </si>
  <si>
    <t>11.08.23</t>
  </si>
  <si>
    <t>T514NJ</t>
  </si>
  <si>
    <t>PR405097</t>
  </si>
  <si>
    <t>39440</t>
  </si>
  <si>
    <t>13360</t>
  </si>
  <si>
    <t>26080</t>
  </si>
  <si>
    <t>-87</t>
  </si>
  <si>
    <t>Rafinaria Navodari</t>
  </si>
  <si>
    <t>Benzina ADT</t>
  </si>
  <si>
    <t>Andezit</t>
  </si>
  <si>
    <t>Итого по Benzina ADT</t>
  </si>
  <si>
    <t>На сумму</t>
  </si>
  <si>
    <t>В т.ч. НДС</t>
  </si>
  <si>
    <t>По документам</t>
  </si>
  <si>
    <t>26167</t>
  </si>
  <si>
    <t>0,00</t>
  </si>
  <si>
    <t>Z778PT</t>
  </si>
  <si>
    <t>PR405101</t>
  </si>
  <si>
    <t>39580</t>
  </si>
  <si>
    <t>13410</t>
  </si>
  <si>
    <t>26170</t>
  </si>
  <si>
    <t>-88</t>
  </si>
  <si>
    <t>Benzina Euro</t>
  </si>
  <si>
    <t>I856WW</t>
  </si>
  <si>
    <t>MD0844667</t>
  </si>
  <si>
    <t>39690</t>
  </si>
  <si>
    <t>13100</t>
  </si>
  <si>
    <t>26590</t>
  </si>
  <si>
    <t>-59</t>
  </si>
  <si>
    <t>Vero-Nadina</t>
  </si>
  <si>
    <t>I288WW</t>
  </si>
  <si>
    <t>MD0844666</t>
  </si>
  <si>
    <t>39240</t>
  </si>
  <si>
    <t>12650</t>
  </si>
  <si>
    <t>-90</t>
  </si>
  <si>
    <t>H917TZ</t>
  </si>
  <si>
    <t>PR405105</t>
  </si>
  <si>
    <t>39850</t>
  </si>
  <si>
    <t>13000</t>
  </si>
  <si>
    <t>26850</t>
  </si>
  <si>
    <t>-64</t>
  </si>
  <si>
    <t>X175CC</t>
  </si>
  <si>
    <t>PR404701</t>
  </si>
  <si>
    <t>38780</t>
  </si>
  <si>
    <t>13770</t>
  </si>
  <si>
    <t>25010</t>
  </si>
  <si>
    <t>-126</t>
  </si>
  <si>
    <t>S635JG</t>
  </si>
  <si>
    <t>PR405134</t>
  </si>
  <si>
    <t>39170</t>
  </si>
  <si>
    <t>12570</t>
  </si>
  <si>
    <t>26600</t>
  </si>
  <si>
    <t>-76</t>
  </si>
  <si>
    <t>M673VI</t>
  </si>
  <si>
    <t>PR405120</t>
  </si>
  <si>
    <t>39180</t>
  </si>
  <si>
    <t>12710</t>
  </si>
  <si>
    <t>26470</t>
  </si>
  <si>
    <t>-102</t>
  </si>
  <si>
    <t>Итого по Benzina Euro</t>
  </si>
  <si>
    <t>184280</t>
  </si>
  <si>
    <t>184885</t>
  </si>
  <si>
    <t>C922RA</t>
  </si>
  <si>
    <t>PR405099</t>
  </si>
  <si>
    <t>39350</t>
  </si>
  <si>
    <t>13870</t>
  </si>
  <si>
    <t>25480</t>
  </si>
  <si>
    <t>-82</t>
  </si>
  <si>
    <t>Motorina ADT</t>
  </si>
  <si>
    <t>I695WW</t>
  </si>
  <si>
    <t>MD0809486</t>
  </si>
  <si>
    <t>39110</t>
  </si>
  <si>
    <t>12160</t>
  </si>
  <si>
    <t>26950</t>
  </si>
  <si>
    <t>-68</t>
  </si>
  <si>
    <t>Y367CQ</t>
  </si>
  <si>
    <t>PR405107</t>
  </si>
  <si>
    <t>39470</t>
  </si>
  <si>
    <t>12850</t>
  </si>
  <si>
    <t>26620</t>
  </si>
  <si>
    <t>-84</t>
  </si>
  <si>
    <t>Итого по Motorina ADT</t>
  </si>
  <si>
    <t>79050</t>
  </si>
  <si>
    <t>79284</t>
  </si>
  <si>
    <t>I699WW</t>
  </si>
  <si>
    <t>AAO1574298</t>
  </si>
  <si>
    <t>40010</t>
  </si>
  <si>
    <t>12660</t>
  </si>
  <si>
    <t>27350</t>
  </si>
  <si>
    <t>-140</t>
  </si>
  <si>
    <t>Giurgiulesti</t>
  </si>
  <si>
    <t>Motorina Euro</t>
  </si>
  <si>
    <t>C919RA</t>
  </si>
  <si>
    <t>AAO1574299</t>
  </si>
  <si>
    <t>39800</t>
  </si>
  <si>
    <t>13890</t>
  </si>
  <si>
    <t>25910</t>
  </si>
  <si>
    <t>T521NJ</t>
  </si>
  <si>
    <t>PR404953</t>
  </si>
  <si>
    <t>39600</t>
  </si>
  <si>
    <t>13510</t>
  </si>
  <si>
    <t>26090</t>
  </si>
  <si>
    <t>-127</t>
  </si>
  <si>
    <t>C818RB</t>
  </si>
  <si>
    <t>AAO1574300</t>
  </si>
  <si>
    <t>38580</t>
  </si>
  <si>
    <t>12090</t>
  </si>
  <si>
    <t>26490</t>
  </si>
  <si>
    <t>-79</t>
  </si>
  <si>
    <t>I289WW</t>
  </si>
  <si>
    <t>AAO1574301</t>
  </si>
  <si>
    <t>39270</t>
  </si>
  <si>
    <t>13470</t>
  </si>
  <si>
    <t>25800</t>
  </si>
  <si>
    <t>-56</t>
  </si>
  <si>
    <t>C920RA</t>
  </si>
  <si>
    <t>AAO1574302</t>
  </si>
  <si>
    <t>39410</t>
  </si>
  <si>
    <t>13690</t>
  </si>
  <si>
    <t>25720</t>
  </si>
  <si>
    <t>-70</t>
  </si>
  <si>
    <t>S640JG</t>
  </si>
  <si>
    <t>AAO1574303</t>
  </si>
  <si>
    <t>39890</t>
  </si>
  <si>
    <t>13490</t>
  </si>
  <si>
    <t>26400</t>
  </si>
  <si>
    <t>-92</t>
  </si>
  <si>
    <t>I320WW</t>
  </si>
  <si>
    <t>AAO1574304</t>
  </si>
  <si>
    <t>39950</t>
  </si>
  <si>
    <t>13480</t>
  </si>
  <si>
    <t>-105</t>
  </si>
  <si>
    <t>I175WW</t>
  </si>
  <si>
    <t>AAO1574308</t>
  </si>
  <si>
    <t>40650</t>
  </si>
  <si>
    <t>27180</t>
  </si>
  <si>
    <t>-40</t>
  </si>
  <si>
    <t>S667JG</t>
  </si>
  <si>
    <t>AAO1574306</t>
  </si>
  <si>
    <t>39840</t>
  </si>
  <si>
    <t>13430</t>
  </si>
  <si>
    <t>26410</t>
  </si>
  <si>
    <t>-17</t>
  </si>
  <si>
    <t>I961WW</t>
  </si>
  <si>
    <t>PR405104</t>
  </si>
  <si>
    <t>39050</t>
  </si>
  <si>
    <t>13390</t>
  </si>
  <si>
    <t>25660</t>
  </si>
  <si>
    <t>-85</t>
  </si>
  <si>
    <t>V778LG</t>
  </si>
  <si>
    <t>PR405119</t>
  </si>
  <si>
    <t>39640</t>
  </si>
  <si>
    <t>13370</t>
  </si>
  <si>
    <t>26270</t>
  </si>
  <si>
    <t>-86</t>
  </si>
  <si>
    <t>I957WW</t>
  </si>
  <si>
    <t>PR405083</t>
  </si>
  <si>
    <t>39380</t>
  </si>
  <si>
    <t>25900</t>
  </si>
  <si>
    <t>M170VI</t>
  </si>
  <si>
    <t>MD0844615</t>
  </si>
  <si>
    <t>14340</t>
  </si>
  <si>
    <t>25460</t>
  </si>
  <si>
    <t>-226</t>
  </si>
  <si>
    <t>N974TN</t>
  </si>
  <si>
    <t>MD0844727</t>
  </si>
  <si>
    <t>39710</t>
  </si>
  <si>
    <t>12480</t>
  </si>
  <si>
    <t>27230</t>
  </si>
  <si>
    <t>-54</t>
  </si>
  <si>
    <t>VLG210</t>
  </si>
  <si>
    <t>PR405103</t>
  </si>
  <si>
    <t>39400</t>
  </si>
  <si>
    <t>12880</t>
  </si>
  <si>
    <t>26520</t>
  </si>
  <si>
    <t>-67</t>
  </si>
  <si>
    <t>H935TZ</t>
  </si>
  <si>
    <t>PR405121</t>
  </si>
  <si>
    <t>39320</t>
  </si>
  <si>
    <t>12900</t>
  </si>
  <si>
    <t>26420</t>
  </si>
  <si>
    <t>I409WW</t>
  </si>
  <si>
    <t>PR405106</t>
  </si>
  <si>
    <t>38820</t>
  </si>
  <si>
    <t>14170</t>
  </si>
  <si>
    <t>24650</t>
  </si>
  <si>
    <t>-78</t>
  </si>
  <si>
    <t>X360XC</t>
  </si>
  <si>
    <t>MD0809393</t>
  </si>
  <si>
    <t>39670</t>
  </si>
  <si>
    <t>26180</t>
  </si>
  <si>
    <t>-63</t>
  </si>
  <si>
    <t>C813AW</t>
  </si>
  <si>
    <t>AAO1574305</t>
  </si>
  <si>
    <t>39220</t>
  </si>
  <si>
    <t>12930</t>
  </si>
  <si>
    <t>26290</t>
  </si>
  <si>
    <t>-99</t>
  </si>
  <si>
    <t>Итого по Motorina Euro</t>
  </si>
  <si>
    <t>524400</t>
  </si>
  <si>
    <t>526092</t>
  </si>
  <si>
    <t>NSAB055</t>
  </si>
  <si>
    <t>AAE7651704</t>
  </si>
  <si>
    <t>40060</t>
  </si>
  <si>
    <t>13540</t>
  </si>
  <si>
    <t>-37</t>
  </si>
  <si>
    <t>Diferite</t>
  </si>
  <si>
    <t>U026TQ</t>
  </si>
  <si>
    <t>AAE7651706</t>
  </si>
  <si>
    <t>39590</t>
  </si>
  <si>
    <t>12800</t>
  </si>
  <si>
    <t>26790</t>
  </si>
  <si>
    <t>-15</t>
  </si>
  <si>
    <t>V186LG</t>
  </si>
  <si>
    <t>AAE7651705</t>
  </si>
  <si>
    <t>13520</t>
  </si>
  <si>
    <t>25750</t>
  </si>
  <si>
    <t>-32</t>
  </si>
  <si>
    <t>X199XC</t>
  </si>
  <si>
    <t>AAE7651707.8</t>
  </si>
  <si>
    <t>38010</t>
  </si>
  <si>
    <t>13170</t>
  </si>
  <si>
    <t>24840</t>
  </si>
  <si>
    <t>-35</t>
  </si>
  <si>
    <t>NSAR887</t>
  </si>
  <si>
    <t>AAE7651709</t>
  </si>
  <si>
    <t>32610</t>
  </si>
  <si>
    <t>13160</t>
  </si>
  <si>
    <t>19450</t>
  </si>
  <si>
    <t>-11</t>
  </si>
  <si>
    <t>V193LG</t>
  </si>
  <si>
    <t>AAE7651740</t>
  </si>
  <si>
    <t>13630</t>
  </si>
  <si>
    <t>25780</t>
  </si>
  <si>
    <t>-9</t>
  </si>
  <si>
    <t>создан 11.08.23 в 17:43:24</t>
  </si>
  <si>
    <t>стр. 1 из 2</t>
  </si>
  <si>
    <t>A014AB</t>
  </si>
  <si>
    <t>AAE7651747</t>
  </si>
  <si>
    <t>38930</t>
  </si>
  <si>
    <t>25760</t>
  </si>
  <si>
    <t>-33</t>
  </si>
  <si>
    <t>I854WW</t>
  </si>
  <si>
    <t>AAE7651748</t>
  </si>
  <si>
    <t>40540</t>
  </si>
  <si>
    <t>13460</t>
  </si>
  <si>
    <t>27080</t>
  </si>
  <si>
    <t>-38</t>
  </si>
  <si>
    <t>AAE7651749</t>
  </si>
  <si>
    <t>38520</t>
  </si>
  <si>
    <t>-28</t>
  </si>
  <si>
    <t>AAE7651750</t>
  </si>
  <si>
    <t>38290</t>
  </si>
  <si>
    <t>24930</t>
  </si>
  <si>
    <t>-34</t>
  </si>
  <si>
    <t>I870WW</t>
  </si>
  <si>
    <t>AAE7651751</t>
  </si>
  <si>
    <t>38500</t>
  </si>
  <si>
    <t>25840</t>
  </si>
  <si>
    <t>-22</t>
  </si>
  <si>
    <t>NSAB041</t>
  </si>
  <si>
    <t>AAE7651752</t>
  </si>
  <si>
    <t>40400</t>
  </si>
  <si>
    <t>13560</t>
  </si>
  <si>
    <t>26840</t>
  </si>
  <si>
    <t>A331AB</t>
  </si>
  <si>
    <t>AAE7651753</t>
  </si>
  <si>
    <t>37930</t>
  </si>
  <si>
    <t>13150</t>
  </si>
  <si>
    <t>24780</t>
  </si>
  <si>
    <t>V203LG</t>
  </si>
  <si>
    <t>AAE7651754</t>
  </si>
  <si>
    <t>38550</t>
  </si>
  <si>
    <t>13660</t>
  </si>
  <si>
    <t>24890</t>
  </si>
  <si>
    <t>M607VI</t>
  </si>
  <si>
    <t>AAE7651757.8</t>
  </si>
  <si>
    <t>37880</t>
  </si>
  <si>
    <t>13940</t>
  </si>
  <si>
    <t>23940</t>
  </si>
  <si>
    <t>-6</t>
  </si>
  <si>
    <t>I855WW</t>
  </si>
  <si>
    <t>AAE7651759.6</t>
  </si>
  <si>
    <t>41120</t>
  </si>
  <si>
    <t>27950</t>
  </si>
  <si>
    <t>-18</t>
  </si>
  <si>
    <t>NSAA703</t>
  </si>
  <si>
    <t>AAE7651761.2</t>
  </si>
  <si>
    <t>39990</t>
  </si>
  <si>
    <t>26100</t>
  </si>
  <si>
    <t>-39</t>
  </si>
  <si>
    <t>AAE7651763</t>
  </si>
  <si>
    <t>25680</t>
  </si>
  <si>
    <t>AAE7651764</t>
  </si>
  <si>
    <t>37840</t>
  </si>
  <si>
    <t>13190</t>
  </si>
  <si>
    <t>-27</t>
  </si>
  <si>
    <t>AAE7651765</t>
  </si>
  <si>
    <t>38240</t>
  </si>
  <si>
    <t>25070</t>
  </si>
  <si>
    <t>-42</t>
  </si>
  <si>
    <t>AAE7651766</t>
  </si>
  <si>
    <t>39680</t>
  </si>
  <si>
    <t>26210</t>
  </si>
  <si>
    <t>-36</t>
  </si>
  <si>
    <t>AAE7651767</t>
  </si>
  <si>
    <t>37950</t>
  </si>
  <si>
    <t>13610</t>
  </si>
  <si>
    <t>24340</t>
  </si>
  <si>
    <t>-23</t>
  </si>
  <si>
    <t>AAE7651768</t>
  </si>
  <si>
    <t>32360</t>
  </si>
  <si>
    <t>13140</t>
  </si>
  <si>
    <t>19220</t>
  </si>
  <si>
    <t>AAE7651769</t>
  </si>
  <si>
    <t>38060</t>
  </si>
  <si>
    <t>24900</t>
  </si>
  <si>
    <t>-51</t>
  </si>
  <si>
    <t>AAE7651770</t>
  </si>
  <si>
    <t>36500</t>
  </si>
  <si>
    <t>12670</t>
  </si>
  <si>
    <t>23830</t>
  </si>
  <si>
    <t>-16</t>
  </si>
  <si>
    <t>AAE7651771</t>
  </si>
  <si>
    <t>38640</t>
  </si>
  <si>
    <t>13550</t>
  </si>
  <si>
    <t>25090</t>
  </si>
  <si>
    <t>-25</t>
  </si>
  <si>
    <t>AAE7651772</t>
  </si>
  <si>
    <t>38870</t>
  </si>
  <si>
    <t>12740</t>
  </si>
  <si>
    <t>26130</t>
  </si>
  <si>
    <t>Итого по Diferite</t>
  </si>
  <si>
    <t>677370</t>
  </si>
  <si>
    <t>678138</t>
  </si>
  <si>
    <t>стр. 2 из 2</t>
  </si>
  <si>
    <t>создан 11.07.23 в 15:22:30</t>
  </si>
  <si>
    <t>577119</t>
  </si>
  <si>
    <t>576160</t>
  </si>
  <si>
    <t>-58</t>
  </si>
  <si>
    <t>24980</t>
  </si>
  <si>
    <t>38670</t>
  </si>
  <si>
    <t>AAE7651738</t>
  </si>
  <si>
    <t>11.07.23</t>
  </si>
  <si>
    <t>-46</t>
  </si>
  <si>
    <t>13440</t>
  </si>
  <si>
    <t>40030</t>
  </si>
  <si>
    <t>AAE7651737</t>
  </si>
  <si>
    <t>25030</t>
  </si>
  <si>
    <t>13650</t>
  </si>
  <si>
    <t>38680</t>
  </si>
  <si>
    <t>AAE7651736</t>
  </si>
  <si>
    <t>19030</t>
  </si>
  <si>
    <t>32220</t>
  </si>
  <si>
    <t>AAE7651734</t>
  </si>
  <si>
    <t>39980</t>
  </si>
  <si>
    <t>AAE7651732</t>
  </si>
  <si>
    <t>-43</t>
  </si>
  <si>
    <t>24550</t>
  </si>
  <si>
    <t>37720</t>
  </si>
  <si>
    <t>AAE7651731</t>
  </si>
  <si>
    <t>-45</t>
  </si>
  <si>
    <t>13580</t>
  </si>
  <si>
    <t>40050</t>
  </si>
  <si>
    <t>AAE7651730</t>
  </si>
  <si>
    <t>25060</t>
  </si>
  <si>
    <t>13590</t>
  </si>
  <si>
    <t>38650</t>
  </si>
  <si>
    <t>AAE7651729</t>
  </si>
  <si>
    <t>-47</t>
  </si>
  <si>
    <t>24160</t>
  </si>
  <si>
    <t>15120</t>
  </si>
  <si>
    <t>39280</t>
  </si>
  <si>
    <t>AAE7651725</t>
  </si>
  <si>
    <t>NSAA982</t>
  </si>
  <si>
    <t>26480</t>
  </si>
  <si>
    <t>40000</t>
  </si>
  <si>
    <t>AAE7651728</t>
  </si>
  <si>
    <t>38740</t>
  </si>
  <si>
    <t>AAE7651724</t>
  </si>
  <si>
    <t>25020</t>
  </si>
  <si>
    <t>38560</t>
  </si>
  <si>
    <t>AAE7651723</t>
  </si>
  <si>
    <t>-44</t>
  </si>
  <si>
    <t>13310</t>
  </si>
  <si>
    <t>38770</t>
  </si>
  <si>
    <t>AAE7651721</t>
  </si>
  <si>
    <t>-48</t>
  </si>
  <si>
    <t>25470</t>
  </si>
  <si>
    <t>13260</t>
  </si>
  <si>
    <t>38730</t>
  </si>
  <si>
    <t>AAE7651720</t>
  </si>
  <si>
    <t>24960</t>
  </si>
  <si>
    <t>13600</t>
  </si>
  <si>
    <t>AAE7651719</t>
  </si>
  <si>
    <t>27070</t>
  </si>
  <si>
    <t>AAE7651718</t>
  </si>
  <si>
    <t>-49</t>
  </si>
  <si>
    <t>25730</t>
  </si>
  <si>
    <t>39360</t>
  </si>
  <si>
    <t>AAE7651716</t>
  </si>
  <si>
    <t>-41</t>
  </si>
  <si>
    <t>24880</t>
  </si>
  <si>
    <t>13180</t>
  </si>
  <si>
    <t>AAE7651715</t>
  </si>
  <si>
    <t>25870</t>
  </si>
  <si>
    <t>12760</t>
  </si>
  <si>
    <t>38630</t>
  </si>
  <si>
    <t>AAE7651714</t>
  </si>
  <si>
    <t>24350</t>
  </si>
  <si>
    <t>13670</t>
  </si>
  <si>
    <t>38020</t>
  </si>
  <si>
    <t>AAE7651713</t>
  </si>
  <si>
    <t>-52</t>
  </si>
  <si>
    <t>26650</t>
  </si>
  <si>
    <t>13570</t>
  </si>
  <si>
    <t>40220</t>
  </si>
  <si>
    <t>AAE7651712</t>
  </si>
  <si>
    <t>-10</t>
  </si>
  <si>
    <t>19440</t>
  </si>
  <si>
    <t>13210</t>
  </si>
  <si>
    <t>32650</t>
  </si>
  <si>
    <t>AAE7651711</t>
  </si>
  <si>
    <t>26280</t>
  </si>
  <si>
    <t>39870</t>
  </si>
  <si>
    <t>AAE7651710</t>
  </si>
  <si>
    <t>27884</t>
  </si>
  <si>
    <t>27790</t>
  </si>
  <si>
    <t>Итого по Motorina S55</t>
  </si>
  <si>
    <t>LCT</t>
  </si>
  <si>
    <t>Motorina S55</t>
  </si>
  <si>
    <t>-94</t>
  </si>
  <si>
    <t>11800</t>
  </si>
  <si>
    <t>BV95LKT</t>
  </si>
  <si>
    <t>292695</t>
  </si>
  <si>
    <t>291930</t>
  </si>
  <si>
    <t>-69</t>
  </si>
  <si>
    <t>26530</t>
  </si>
  <si>
    <t>AAO1574297</t>
  </si>
  <si>
    <t>26340</t>
  </si>
  <si>
    <t>39930</t>
  </si>
  <si>
    <t>AAO1574295</t>
  </si>
  <si>
    <t>-123</t>
  </si>
  <si>
    <t>AAO1574296</t>
  </si>
  <si>
    <t>-60</t>
  </si>
  <si>
    <t>25610</t>
  </si>
  <si>
    <t>39150</t>
  </si>
  <si>
    <t>AAO1574292</t>
  </si>
  <si>
    <t>25940</t>
  </si>
  <si>
    <t>41060</t>
  </si>
  <si>
    <t>AAO1574293</t>
  </si>
  <si>
    <t>26550</t>
  </si>
  <si>
    <t>12240</t>
  </si>
  <si>
    <t>38790</t>
  </si>
  <si>
    <t>AAO15574290</t>
  </si>
  <si>
    <t>-50</t>
  </si>
  <si>
    <t>26800</t>
  </si>
  <si>
    <t>40340</t>
  </si>
  <si>
    <t>AAO1574289</t>
  </si>
  <si>
    <t>-72</t>
  </si>
  <si>
    <t>26510</t>
  </si>
  <si>
    <t>13110</t>
  </si>
  <si>
    <t>39620</t>
  </si>
  <si>
    <t>PR405090</t>
  </si>
  <si>
    <t>C823AW</t>
  </si>
  <si>
    <t>-53</t>
  </si>
  <si>
    <t>AAO1574291</t>
  </si>
  <si>
    <t>-77</t>
  </si>
  <si>
    <t>27890</t>
  </si>
  <si>
    <t>11850</t>
  </si>
  <si>
    <t>39740</t>
  </si>
  <si>
    <t>BV54LKT</t>
  </si>
  <si>
    <t>27450</t>
  </si>
  <si>
    <t>BV87LKT</t>
  </si>
  <si>
    <t>55991</t>
  </si>
  <si>
    <t>55850</t>
  </si>
  <si>
    <t>28030</t>
  </si>
  <si>
    <t>11830</t>
  </si>
  <si>
    <t>39860</t>
  </si>
  <si>
    <t>BV92LKT</t>
  </si>
  <si>
    <t>27820</t>
  </si>
  <si>
    <t>11540</t>
  </si>
  <si>
    <t>BV94LKT</t>
  </si>
  <si>
    <t>131447</t>
  </si>
  <si>
    <t>131070</t>
  </si>
  <si>
    <t>-61</t>
  </si>
  <si>
    <t>26190</t>
  </si>
  <si>
    <t>MD0844693</t>
  </si>
  <si>
    <t>26630</t>
  </si>
  <si>
    <t>12890</t>
  </si>
  <si>
    <t>39520</t>
  </si>
  <si>
    <t>MD0844644</t>
  </si>
  <si>
    <t>O911FC</t>
  </si>
  <si>
    <t>-110</t>
  </si>
  <si>
    <t>25770</t>
  </si>
  <si>
    <t>13330</t>
  </si>
  <si>
    <t>39100</t>
  </si>
  <si>
    <t>MD0809236</t>
  </si>
  <si>
    <t>L690MM</t>
  </si>
  <si>
    <t>-57</t>
  </si>
  <si>
    <t>25690</t>
  </si>
  <si>
    <t>MD0810035</t>
  </si>
  <si>
    <t>-80</t>
  </si>
  <si>
    <t>13020</t>
  </si>
  <si>
    <t>39810</t>
  </si>
  <si>
    <t>PR405092</t>
  </si>
  <si>
    <t>S641JG</t>
  </si>
  <si>
    <t>07.11.2023-07.11.2023
&lt;ВСЕ&gt;
&lt;ВСЕ&gt;
&lt;ВСЕ&gt;
&lt;ВСЕ&gt;
&lt;ВСЕ&gt;
&lt;Любое&gt;</t>
  </si>
  <si>
    <t>06.11.2023-06.11.2023
&lt;ВСЕ&gt;
&lt;ВСЕ&gt;
&lt;ВСЕ&gt;
&lt;ВСЕ&gt;
&lt;ВСЕ&gt;
&lt;Любое&gt;</t>
  </si>
  <si>
    <t>11.06.23</t>
  </si>
  <si>
    <t>PR405078</t>
  </si>
  <si>
    <t>39250</t>
  </si>
  <si>
    <t>H120TZ</t>
  </si>
  <si>
    <t>PR405093</t>
  </si>
  <si>
    <t>26710</t>
  </si>
  <si>
    <t>Y698CQ</t>
  </si>
  <si>
    <t>MD0844782</t>
  </si>
  <si>
    <t>40180</t>
  </si>
  <si>
    <t>14070</t>
  </si>
  <si>
    <t>26110</t>
  </si>
  <si>
    <t>Y202CQ</t>
  </si>
  <si>
    <t>PR405072</t>
  </si>
  <si>
    <t>12630</t>
  </si>
  <si>
    <t>27040</t>
  </si>
  <si>
    <t>-104</t>
  </si>
  <si>
    <t>106370</t>
  </si>
  <si>
    <t>106713</t>
  </si>
  <si>
    <t>C825RB</t>
  </si>
  <si>
    <t>PR405016</t>
  </si>
  <si>
    <t>39970</t>
  </si>
  <si>
    <t>27170</t>
  </si>
  <si>
    <t>-108</t>
  </si>
  <si>
    <t>H119TZ</t>
  </si>
  <si>
    <t>PR405080</t>
  </si>
  <si>
    <t>12550</t>
  </si>
  <si>
    <t>L161MM</t>
  </si>
  <si>
    <t>MD0844749</t>
  </si>
  <si>
    <t>39760</t>
  </si>
  <si>
    <t>13710</t>
  </si>
  <si>
    <t>26050</t>
  </si>
  <si>
    <t>-73</t>
  </si>
  <si>
    <t>C825AW</t>
  </si>
  <si>
    <t>PR405095</t>
  </si>
  <si>
    <t>39130</t>
  </si>
  <si>
    <t>12340</t>
  </si>
  <si>
    <t>-189</t>
  </si>
  <si>
    <t>106810</t>
  </si>
  <si>
    <t>107274</t>
  </si>
  <si>
    <t>S129JG</t>
  </si>
  <si>
    <t>MD0844796</t>
  </si>
  <si>
    <t>12870</t>
  </si>
  <si>
    <t>PR405089</t>
  </si>
  <si>
    <t>39070</t>
  </si>
  <si>
    <t>12560</t>
  </si>
  <si>
    <t>-75</t>
  </si>
  <si>
    <t>Y374CQ</t>
  </si>
  <si>
    <t>PR405004</t>
  </si>
  <si>
    <t>39390</t>
  </si>
  <si>
    <t>26200</t>
  </si>
  <si>
    <t>-152</t>
  </si>
  <si>
    <t>M212RZ</t>
  </si>
  <si>
    <t>MD0808271</t>
  </si>
  <si>
    <t>39660</t>
  </si>
  <si>
    <t>12370</t>
  </si>
  <si>
    <t>27290</t>
  </si>
  <si>
    <t>H112TZ</t>
  </si>
  <si>
    <t>PR404955</t>
  </si>
  <si>
    <t>39920</t>
  </si>
  <si>
    <t>13040</t>
  </si>
  <si>
    <t>26880</t>
  </si>
  <si>
    <t>-106</t>
  </si>
  <si>
    <t>133360</t>
  </si>
  <si>
    <t>133869</t>
  </si>
  <si>
    <t>AAO1574287</t>
  </si>
  <si>
    <t>13970</t>
  </si>
  <si>
    <t>W032AL</t>
  </si>
  <si>
    <t>PR405077</t>
  </si>
  <si>
    <t>PR405079</t>
  </si>
  <si>
    <t>PR405042</t>
  </si>
  <si>
    <t>39460</t>
  </si>
  <si>
    <t>H113TZ</t>
  </si>
  <si>
    <t>PR405028</t>
  </si>
  <si>
    <t>12580</t>
  </si>
  <si>
    <t>26770</t>
  </si>
  <si>
    <t>-71</t>
  </si>
  <si>
    <t>X056XC</t>
  </si>
  <si>
    <t>MD0809598</t>
  </si>
  <si>
    <t>13420</t>
  </si>
  <si>
    <t>26320</t>
  </si>
  <si>
    <t>-83</t>
  </si>
  <si>
    <t>S813JG</t>
  </si>
  <si>
    <t>MD06300893</t>
  </si>
  <si>
    <t>39560</t>
  </si>
  <si>
    <t>14180</t>
  </si>
  <si>
    <t>25380</t>
  </si>
  <si>
    <t>H110TZ</t>
  </si>
  <si>
    <t>PR404799</t>
  </si>
  <si>
    <t>K015ZJ</t>
  </si>
  <si>
    <t>PR405088</t>
  </si>
  <si>
    <t>39610</t>
  </si>
  <si>
    <t>-74</t>
  </si>
  <si>
    <t>AAO1574288</t>
  </si>
  <si>
    <t>13530</t>
  </si>
  <si>
    <t>26360</t>
  </si>
  <si>
    <t>-30</t>
  </si>
  <si>
    <t>H924TZ</t>
  </si>
  <si>
    <t>PR404751</t>
  </si>
  <si>
    <t>12320</t>
  </si>
  <si>
    <t>26330</t>
  </si>
  <si>
    <t>287830</t>
  </si>
  <si>
    <t>288618</t>
  </si>
  <si>
    <t>AAE7651680</t>
  </si>
  <si>
    <t>40480</t>
  </si>
  <si>
    <t>27000</t>
  </si>
  <si>
    <t>-31</t>
  </si>
  <si>
    <t>AAE7651681</t>
  </si>
  <si>
    <t>39230</t>
  </si>
  <si>
    <t>13620</t>
  </si>
  <si>
    <t>AAE7651682</t>
  </si>
  <si>
    <t>25650</t>
  </si>
  <si>
    <t>AAE7651683</t>
  </si>
  <si>
    <t>38000</t>
  </si>
  <si>
    <t>13340</t>
  </si>
  <si>
    <t>24660</t>
  </si>
  <si>
    <t>AAE7651684</t>
  </si>
  <si>
    <t>31910</t>
  </si>
  <si>
    <t>13240</t>
  </si>
  <si>
    <t>18670</t>
  </si>
  <si>
    <t>AAE7651685</t>
  </si>
  <si>
    <t>25740</t>
  </si>
  <si>
    <t>AAE7651686.7</t>
  </si>
  <si>
    <t>38330</t>
  </si>
  <si>
    <t>AAE7651688</t>
  </si>
  <si>
    <t>39500</t>
  </si>
  <si>
    <t>13700</t>
  </si>
  <si>
    <t>AAE7651690</t>
  </si>
  <si>
    <t>13730</t>
  </si>
  <si>
    <t>25040</t>
  </si>
  <si>
    <t>AAE7651691</t>
  </si>
  <si>
    <t>40510</t>
  </si>
  <si>
    <t>15190</t>
  </si>
  <si>
    <t>25320</t>
  </si>
  <si>
    <t>-12</t>
  </si>
  <si>
    <t>AAE7651692</t>
  </si>
  <si>
    <t>40950</t>
  </si>
  <si>
    <t>27380</t>
  </si>
  <si>
    <t>AAE7651693</t>
  </si>
  <si>
    <t>38600</t>
  </si>
  <si>
    <t>12780</t>
  </si>
  <si>
    <t>25820</t>
  </si>
  <si>
    <t>AAE7651694</t>
  </si>
  <si>
    <t>создан 11.06.23 в 15:39:51</t>
  </si>
  <si>
    <t>AAE7651695</t>
  </si>
  <si>
    <t>32430</t>
  </si>
  <si>
    <t>13230</t>
  </si>
  <si>
    <t>19200</t>
  </si>
  <si>
    <t>AAE7651696</t>
  </si>
  <si>
    <t>38390</t>
  </si>
  <si>
    <t>AAE7651697</t>
  </si>
  <si>
    <t>24920</t>
  </si>
  <si>
    <t>AAE7651698.9</t>
  </si>
  <si>
    <t>40420</t>
  </si>
  <si>
    <t>AAE7651700.1</t>
  </si>
  <si>
    <t>39260</t>
  </si>
  <si>
    <t>13720</t>
  </si>
  <si>
    <t>25540</t>
  </si>
  <si>
    <t>AAE7651702</t>
  </si>
  <si>
    <t>25440</t>
  </si>
  <si>
    <t>V189LG</t>
  </si>
  <si>
    <t>AAE7651703</t>
  </si>
  <si>
    <t>37710</t>
  </si>
  <si>
    <t>13450</t>
  </si>
  <si>
    <t>24260</t>
  </si>
  <si>
    <t>499380</t>
  </si>
  <si>
    <t>500039</t>
  </si>
  <si>
    <t>04.11.2023-04.11.2023
&lt;ВСЕ&gt;
&lt;ВСЕ&gt;
&lt;ВСЕ&gt;
&lt;ВСЕ&gt;
&lt;ВСЕ&gt;
&lt;Любое&gt;</t>
  </si>
  <si>
    <t>11.04.23</t>
  </si>
  <si>
    <t>PR405062</t>
  </si>
  <si>
    <t>39570</t>
  </si>
  <si>
    <t>26430</t>
  </si>
  <si>
    <t>-98</t>
  </si>
  <si>
    <t>MD0844781</t>
  </si>
  <si>
    <t>40190</t>
  </si>
  <si>
    <t>14100</t>
  </si>
  <si>
    <t>PR405068</t>
  </si>
  <si>
    <t>13070</t>
  </si>
  <si>
    <t>PR405014</t>
  </si>
  <si>
    <t>38760</t>
  </si>
  <si>
    <t>24580</t>
  </si>
  <si>
    <t>103890</t>
  </si>
  <si>
    <t>104243</t>
  </si>
  <si>
    <t>MD0844614</t>
  </si>
  <si>
    <t>14280</t>
  </si>
  <si>
    <t>-96</t>
  </si>
  <si>
    <t>PR405065</t>
  </si>
  <si>
    <t>39480</t>
  </si>
  <si>
    <t>26040</t>
  </si>
  <si>
    <t>PR405064</t>
  </si>
  <si>
    <t>39160</t>
  </si>
  <si>
    <t>13090</t>
  </si>
  <si>
    <t>26070</t>
  </si>
  <si>
    <t>MD0844711</t>
  </si>
  <si>
    <t>12450</t>
  </si>
  <si>
    <t>26720</t>
  </si>
  <si>
    <t>104440</t>
  </si>
  <si>
    <t>104741</t>
  </si>
  <si>
    <t>MD0844631</t>
  </si>
  <si>
    <t>40070</t>
  </si>
  <si>
    <t>12700</t>
  </si>
  <si>
    <t>27370</t>
  </si>
  <si>
    <t>27406</t>
  </si>
  <si>
    <t>AAO1574281</t>
  </si>
  <si>
    <t>38830</t>
  </si>
  <si>
    <t>12390</t>
  </si>
  <si>
    <t>26440</t>
  </si>
  <si>
    <t>-66</t>
  </si>
  <si>
    <t>AAO1574280</t>
  </si>
  <si>
    <t>38540</t>
  </si>
  <si>
    <t>12140</t>
  </si>
  <si>
    <t>-112</t>
  </si>
  <si>
    <t>MD0809392</t>
  </si>
  <si>
    <t>AAO1574282</t>
  </si>
  <si>
    <t>AAO1574284</t>
  </si>
  <si>
    <t>40970</t>
  </si>
  <si>
    <t>15150</t>
  </si>
  <si>
    <t>-20</t>
  </si>
  <si>
    <t>MD0844748</t>
  </si>
  <si>
    <t>40140</t>
  </si>
  <si>
    <t>AAO1574283</t>
  </si>
  <si>
    <t>25600</t>
  </si>
  <si>
    <t>-95</t>
  </si>
  <si>
    <t>M531RZ</t>
  </si>
  <si>
    <t>MD0808369</t>
  </si>
  <si>
    <t>12770</t>
  </si>
  <si>
    <t>27090</t>
  </si>
  <si>
    <t>AAE7651676</t>
  </si>
  <si>
    <t>32300</t>
  </si>
  <si>
    <t>19070</t>
  </si>
  <si>
    <t>-21</t>
  </si>
  <si>
    <t>PR405070</t>
  </si>
  <si>
    <t>39040</t>
  </si>
  <si>
    <t>13300</t>
  </si>
  <si>
    <t>NASS703</t>
  </si>
  <si>
    <t>AAO1574285</t>
  </si>
  <si>
    <t>AAO1574286</t>
  </si>
  <si>
    <t>40730</t>
  </si>
  <si>
    <t>27160</t>
  </si>
  <si>
    <t>288770</t>
  </si>
  <si>
    <t>289542</t>
  </si>
  <si>
    <t>19091</t>
  </si>
  <si>
    <t>AAE7651627</t>
  </si>
  <si>
    <t>38100</t>
  </si>
  <si>
    <t>25390</t>
  </si>
  <si>
    <t>AAE7651628.9</t>
  </si>
  <si>
    <t>41270</t>
  </si>
  <si>
    <t>13400</t>
  </si>
  <si>
    <t>27870</t>
  </si>
  <si>
    <t>-24</t>
  </si>
  <si>
    <t>AAE7651660.1</t>
  </si>
  <si>
    <t>37800</t>
  </si>
  <si>
    <t>AAE7651662</t>
  </si>
  <si>
    <t>32820</t>
  </si>
  <si>
    <t>19590</t>
  </si>
  <si>
    <t>AAE7651663.4</t>
  </si>
  <si>
    <t>39820</t>
  </si>
  <si>
    <t>AAE7651665.6</t>
  </si>
  <si>
    <t>38370</t>
  </si>
  <si>
    <t>A012AB</t>
  </si>
  <si>
    <t>AAE7651667.8</t>
  </si>
  <si>
    <t>40300</t>
  </si>
  <si>
    <t>26860</t>
  </si>
  <si>
    <t>AAE7651670</t>
  </si>
  <si>
    <t>38950</t>
  </si>
  <si>
    <t>AAE7651671</t>
  </si>
  <si>
    <t>38140</t>
  </si>
  <si>
    <t>25050</t>
  </si>
  <si>
    <t>AAE7651672.3</t>
  </si>
  <si>
    <t>40210</t>
  </si>
  <si>
    <t>-13</t>
  </si>
  <si>
    <t>AAE7651674</t>
  </si>
  <si>
    <t>13860</t>
  </si>
  <si>
    <t>25640</t>
  </si>
  <si>
    <t>AAE7651675</t>
  </si>
  <si>
    <t>37400</t>
  </si>
  <si>
    <t>24700</t>
  </si>
  <si>
    <t>AAE7651677</t>
  </si>
  <si>
    <t>AAE7651678</t>
  </si>
  <si>
    <t>38300</t>
  </si>
  <si>
    <t>13250</t>
  </si>
  <si>
    <t>353180</t>
  </si>
  <si>
    <t>353522</t>
  </si>
  <si>
    <t>создан 11.04.23 в 14:09:07</t>
  </si>
  <si>
    <t>стр. 1 из 1</t>
  </si>
  <si>
    <t>03.11.2023-03.11.2023
&lt;ВСЕ&gt;
&lt;ВСЕ&gt;
&lt;ВСЕ&gt;
&lt;ВСЕ&gt;
&lt;ВСЕ&gt;
&lt;Любое&gt;</t>
  </si>
  <si>
    <t>11.03.23</t>
  </si>
  <si>
    <t>PR389730</t>
  </si>
  <si>
    <t>39550</t>
  </si>
  <si>
    <t>PR405039</t>
  </si>
  <si>
    <t>26240</t>
  </si>
  <si>
    <t>-65</t>
  </si>
  <si>
    <t>W309AL</t>
  </si>
  <si>
    <t>MD0808350</t>
  </si>
  <si>
    <t>24990</t>
  </si>
  <si>
    <t>MD0809235</t>
  </si>
  <si>
    <t>38990</t>
  </si>
  <si>
    <t>-62</t>
  </si>
  <si>
    <t>MD0810034</t>
  </si>
  <si>
    <t>39630</t>
  </si>
  <si>
    <t>13950</t>
  </si>
  <si>
    <t>PR404934</t>
  </si>
  <si>
    <t>12510</t>
  </si>
  <si>
    <t>156320</t>
  </si>
  <si>
    <t>156738</t>
  </si>
  <si>
    <t>PR404910</t>
  </si>
  <si>
    <t>39030</t>
  </si>
  <si>
    <t>26140</t>
  </si>
  <si>
    <t>C985AW</t>
  </si>
  <si>
    <t>PR405066</t>
  </si>
  <si>
    <t>12300</t>
  </si>
  <si>
    <t>27200</t>
  </si>
  <si>
    <t>53340</t>
  </si>
  <si>
    <t>53494</t>
  </si>
  <si>
    <t>11770</t>
  </si>
  <si>
    <t>AAO1574272</t>
  </si>
  <si>
    <t>12070</t>
  </si>
  <si>
    <t>T289NJ</t>
  </si>
  <si>
    <t>AAO1574273</t>
  </si>
  <si>
    <t>39650</t>
  </si>
  <si>
    <t>PR404969</t>
  </si>
  <si>
    <t>26920</t>
  </si>
  <si>
    <t>AAO1574275</t>
  </si>
  <si>
    <t>-55</t>
  </si>
  <si>
    <t>AAO1574270</t>
  </si>
  <si>
    <t>15230</t>
  </si>
  <si>
    <t>25890</t>
  </si>
  <si>
    <t>AAO1574279</t>
  </si>
  <si>
    <t>AAO1574278</t>
  </si>
  <si>
    <t>AAO1574274</t>
  </si>
  <si>
    <t>39720</t>
  </si>
  <si>
    <t>N173TN</t>
  </si>
  <si>
    <t>PR404805</t>
  </si>
  <si>
    <t>26500</t>
  </si>
  <si>
    <t>39540</t>
  </si>
  <si>
    <t>11730</t>
  </si>
  <si>
    <t>27810</t>
  </si>
  <si>
    <t>AAO1574276</t>
  </si>
  <si>
    <t>39020</t>
  </si>
  <si>
    <t>E385RS</t>
  </si>
  <si>
    <t>PR405061</t>
  </si>
  <si>
    <t>39120</t>
  </si>
  <si>
    <t>13350</t>
  </si>
  <si>
    <t>-93</t>
  </si>
  <si>
    <t>VLG212</t>
  </si>
  <si>
    <t>PR405067</t>
  </si>
  <si>
    <t>39370</t>
  </si>
  <si>
    <t>13780</t>
  </si>
  <si>
    <t>25590</t>
  </si>
  <si>
    <t>AAO1574277</t>
  </si>
  <si>
    <t>40270</t>
  </si>
  <si>
    <t>13760</t>
  </si>
  <si>
    <t>MD0844692</t>
  </si>
  <si>
    <t>MD0808270</t>
  </si>
  <si>
    <t>449690</t>
  </si>
  <si>
    <t>450829</t>
  </si>
  <si>
    <t>12470</t>
  </si>
  <si>
    <t>27720</t>
  </si>
  <si>
    <t>-100</t>
  </si>
  <si>
    <t>40100</t>
  </si>
  <si>
    <t>11860</t>
  </si>
  <si>
    <t>28240</t>
  </si>
  <si>
    <t>55960</t>
  </si>
  <si>
    <t>56138</t>
  </si>
  <si>
    <t>AAE7651630</t>
  </si>
  <si>
    <t>26150</t>
  </si>
  <si>
    <t>AAE7651449</t>
  </si>
  <si>
    <t>32200</t>
  </si>
  <si>
    <t>18950</t>
  </si>
  <si>
    <t>-5</t>
  </si>
  <si>
    <t>AAE7651631</t>
  </si>
  <si>
    <t>AAE7651634</t>
  </si>
  <si>
    <t>38380</t>
  </si>
  <si>
    <t>24950</t>
  </si>
  <si>
    <t>IEV867</t>
  </si>
  <si>
    <t>AAE7651635</t>
  </si>
  <si>
    <t>24910</t>
  </si>
  <si>
    <t>10440</t>
  </si>
  <si>
    <t>14470</t>
  </si>
  <si>
    <t>-14</t>
  </si>
  <si>
    <t>AAE7651636</t>
  </si>
  <si>
    <t>AAE7651638</t>
  </si>
  <si>
    <t>37520</t>
  </si>
  <si>
    <t>13050</t>
  </si>
  <si>
    <t>24470</t>
  </si>
  <si>
    <t>AAE7651639</t>
  </si>
  <si>
    <t>39960</t>
  </si>
  <si>
    <t>AAE7651641</t>
  </si>
  <si>
    <t>AAE7651640</t>
  </si>
  <si>
    <t>создан 11.03.23 в 16:39:57</t>
  </si>
  <si>
    <t>AAE7651642</t>
  </si>
  <si>
    <t>13930</t>
  </si>
  <si>
    <t>25700</t>
  </si>
  <si>
    <t>AAE7651645</t>
  </si>
  <si>
    <t>25490</t>
  </si>
  <si>
    <t>AAE7651646</t>
  </si>
  <si>
    <t>24170</t>
  </si>
  <si>
    <t>AAE7651648</t>
  </si>
  <si>
    <t>25180</t>
  </si>
  <si>
    <t>AAE7651649</t>
  </si>
  <si>
    <t>38340</t>
  </si>
  <si>
    <t>24800</t>
  </si>
  <si>
    <t>AAE7651650</t>
  </si>
  <si>
    <t>38810</t>
  </si>
  <si>
    <t>25930</t>
  </si>
  <si>
    <t>AAE7651651</t>
  </si>
  <si>
    <t>40910</t>
  </si>
  <si>
    <t>27360</t>
  </si>
  <si>
    <t>AAE7651653</t>
  </si>
  <si>
    <t>AAE7651654</t>
  </si>
  <si>
    <t>AAE7651656</t>
  </si>
  <si>
    <t>13060</t>
  </si>
  <si>
    <t>25310</t>
  </si>
  <si>
    <t>AAE7651658</t>
  </si>
  <si>
    <t>32970</t>
  </si>
  <si>
    <t>19740</t>
  </si>
  <si>
    <t>AAE7651659</t>
  </si>
  <si>
    <t>38360</t>
  </si>
  <si>
    <t>539640</t>
  </si>
  <si>
    <t>540395</t>
  </si>
  <si>
    <t>02.11.2023-02.11.2023
&lt;ВСЕ&gt;
&lt;ВСЕ&gt;
&lt;ВСЕ&gt;
&lt;ВСЕ&gt;
&lt;ВСЕ&gt;
&lt;Любое&gt;</t>
  </si>
  <si>
    <t>11.02.23</t>
  </si>
  <si>
    <t>PR404967</t>
  </si>
  <si>
    <t>-113</t>
  </si>
  <si>
    <t>U025TQ</t>
  </si>
  <si>
    <t>PR404840</t>
  </si>
  <si>
    <t>40040</t>
  </si>
  <si>
    <t>13500</t>
  </si>
  <si>
    <t>26540</t>
  </si>
  <si>
    <t>-150</t>
  </si>
  <si>
    <t>52580</t>
  </si>
  <si>
    <t>52843</t>
  </si>
  <si>
    <t>PR405034</t>
  </si>
  <si>
    <t>26300</t>
  </si>
  <si>
    <t>PR388986</t>
  </si>
  <si>
    <t>13640</t>
  </si>
  <si>
    <t>26000</t>
  </si>
  <si>
    <t>PR405017</t>
  </si>
  <si>
    <t>39290</t>
  </si>
  <si>
    <t>78410</t>
  </si>
  <si>
    <t>78643</t>
  </si>
  <si>
    <t>MD0808368</t>
  </si>
  <si>
    <t>40110</t>
  </si>
  <si>
    <t>12960</t>
  </si>
  <si>
    <t>27150</t>
  </si>
  <si>
    <t>I967WW</t>
  </si>
  <si>
    <t>PR405033</t>
  </si>
  <si>
    <t>13270</t>
  </si>
  <si>
    <t>25860</t>
  </si>
  <si>
    <t>PR405018</t>
  </si>
  <si>
    <t>MD0844643</t>
  </si>
  <si>
    <t>39880</t>
  </si>
  <si>
    <t>106600</t>
  </si>
  <si>
    <t>106926</t>
  </si>
  <si>
    <t>AAO1574264</t>
  </si>
  <si>
    <t>AAO1574265</t>
  </si>
  <si>
    <t>12180</t>
  </si>
  <si>
    <t>AAO1574266</t>
  </si>
  <si>
    <t>39910</t>
  </si>
  <si>
    <t>27280</t>
  </si>
  <si>
    <t>AAO1574267</t>
  </si>
  <si>
    <t>25580</t>
  </si>
  <si>
    <t>A098AB</t>
  </si>
  <si>
    <t>AAO1574269</t>
  </si>
  <si>
    <t>40130</t>
  </si>
  <si>
    <t>AAO1574268</t>
  </si>
  <si>
    <t>40200</t>
  </si>
  <si>
    <t>13740</t>
  </si>
  <si>
    <t>26460</t>
  </si>
  <si>
    <t>V774LG</t>
  </si>
  <si>
    <t>PR404946</t>
  </si>
  <si>
    <t>27020</t>
  </si>
  <si>
    <t>AAO1574271</t>
  </si>
  <si>
    <t>40620</t>
  </si>
  <si>
    <t>V779LG</t>
  </si>
  <si>
    <t>PR405015</t>
  </si>
  <si>
    <t>12970</t>
  </si>
  <si>
    <t>26660</t>
  </si>
  <si>
    <t>NSAA984</t>
  </si>
  <si>
    <t>PR0678048</t>
  </si>
  <si>
    <t>25670</t>
  </si>
  <si>
    <t>-170</t>
  </si>
  <si>
    <t>MD0809597</t>
  </si>
  <si>
    <t>26450</t>
  </si>
  <si>
    <t>PR405040</t>
  </si>
  <si>
    <t>39430</t>
  </si>
  <si>
    <t>12730</t>
  </si>
  <si>
    <t>26700</t>
  </si>
  <si>
    <t>27920</t>
  </si>
  <si>
    <t>345550</t>
  </si>
  <si>
    <t>346449</t>
  </si>
  <si>
    <t>AAE7651568</t>
  </si>
  <si>
    <t>24370</t>
  </si>
  <si>
    <t>-1</t>
  </si>
  <si>
    <t>AAE7651565</t>
  </si>
  <si>
    <t>39140</t>
  </si>
  <si>
    <t>AAE7651566.7</t>
  </si>
  <si>
    <t>AAE7651569</t>
  </si>
  <si>
    <t>32830</t>
  </si>
  <si>
    <t>19580</t>
  </si>
  <si>
    <t>AAE7651590</t>
  </si>
  <si>
    <t>38840</t>
  </si>
  <si>
    <t>25250</t>
  </si>
  <si>
    <t>AAE7651598.9</t>
  </si>
  <si>
    <t>38880</t>
  </si>
  <si>
    <t>-19</t>
  </si>
  <si>
    <t>AAE7651610</t>
  </si>
  <si>
    <t>37630</t>
  </si>
  <si>
    <t>24210</t>
  </si>
  <si>
    <t>AAE7651611</t>
  </si>
  <si>
    <t>AAE7651612</t>
  </si>
  <si>
    <t>AAE7651615.6</t>
  </si>
  <si>
    <t>38280</t>
  </si>
  <si>
    <t>24740</t>
  </si>
  <si>
    <t>AAE7651613</t>
  </si>
  <si>
    <t>39340</t>
  </si>
  <si>
    <t>-26</t>
  </si>
  <si>
    <t>AAE7651617</t>
  </si>
  <si>
    <t>40026</t>
  </si>
  <si>
    <t>26716</t>
  </si>
  <si>
    <t>AAE7651614</t>
  </si>
  <si>
    <t>39060</t>
  </si>
  <si>
    <t>25530</t>
  </si>
  <si>
    <t>AAE7651618</t>
  </si>
  <si>
    <t>AAE7651620.1</t>
  </si>
  <si>
    <t>12820</t>
  </si>
  <si>
    <t>создан 11.02.23 в 18:18:00</t>
  </si>
  <si>
    <t>AAE7651619</t>
  </si>
  <si>
    <t>AAE7651622</t>
  </si>
  <si>
    <t>24420</t>
  </si>
  <si>
    <t>AAE7651623</t>
  </si>
  <si>
    <t>AAE7651624</t>
  </si>
  <si>
    <t>38440</t>
  </si>
  <si>
    <t>-4</t>
  </si>
  <si>
    <t>AAE7651625</t>
  </si>
  <si>
    <t>32770</t>
  </si>
  <si>
    <t>13220</t>
  </si>
  <si>
    <t>19550</t>
  </si>
  <si>
    <t>AAE7651626</t>
  </si>
  <si>
    <t>37760</t>
  </si>
  <si>
    <t>24320</t>
  </si>
  <si>
    <t>522306</t>
  </si>
  <si>
    <t>522867</t>
  </si>
  <si>
    <t>01.11.2023-01.11.2023
&lt;ВСЕ&gt;
&lt;ВСЕ&gt;
&lt;ВСЕ&gt;
&lt;ВСЕ&gt;
&lt;ВСЕ&gt;
&lt;Любое&gt;</t>
  </si>
  <si>
    <t>11.01.23</t>
  </si>
  <si>
    <t>PR405009</t>
  </si>
  <si>
    <t>26250</t>
  </si>
  <si>
    <t>PR405012</t>
  </si>
  <si>
    <t>MD0809391</t>
  </si>
  <si>
    <t>MD0844613</t>
  </si>
  <si>
    <t>39940</t>
  </si>
  <si>
    <t>14260</t>
  </si>
  <si>
    <t>-81</t>
  </si>
  <si>
    <t>103620</t>
  </si>
  <si>
    <t>103965</t>
  </si>
  <si>
    <t>PR404911</t>
  </si>
  <si>
    <t>PR404990</t>
  </si>
  <si>
    <t>PR404996</t>
  </si>
  <si>
    <t>26220</t>
  </si>
  <si>
    <t>PR405010</t>
  </si>
  <si>
    <t>12620</t>
  </si>
  <si>
    <t>-143</t>
  </si>
  <si>
    <t>PR404982</t>
  </si>
  <si>
    <t>39490</t>
  </si>
  <si>
    <t>12920</t>
  </si>
  <si>
    <t>26570</t>
  </si>
  <si>
    <t>PR404995</t>
  </si>
  <si>
    <t>38850</t>
  </si>
  <si>
    <t>MD0844774</t>
  </si>
  <si>
    <t>12950</t>
  </si>
  <si>
    <t>-158</t>
  </si>
  <si>
    <t>MD0844691</t>
  </si>
  <si>
    <t>26160</t>
  </si>
  <si>
    <t>209840</t>
  </si>
  <si>
    <t>210661</t>
  </si>
  <si>
    <t>11870</t>
  </si>
  <si>
    <t>28050</t>
  </si>
  <si>
    <t>PR404999</t>
  </si>
  <si>
    <t>12430</t>
  </si>
  <si>
    <t>27110</t>
  </si>
  <si>
    <t>55160</t>
  </si>
  <si>
    <t>55322</t>
  </si>
  <si>
    <t>E607RR</t>
  </si>
  <si>
    <t>AAO1574259</t>
  </si>
  <si>
    <t>14350</t>
  </si>
  <si>
    <t>24870</t>
  </si>
  <si>
    <t>AAO1574261</t>
  </si>
  <si>
    <t>39770</t>
  </si>
  <si>
    <t>-97</t>
  </si>
  <si>
    <t>AAO1574260</t>
  </si>
  <si>
    <t>38720</t>
  </si>
  <si>
    <t>12350</t>
  </si>
  <si>
    <t>26370</t>
  </si>
  <si>
    <t>AAO1574262</t>
  </si>
  <si>
    <t>I521LG</t>
  </si>
  <si>
    <t>MD0808682</t>
  </si>
  <si>
    <t>PR404916</t>
  </si>
  <si>
    <t>13130</t>
  </si>
  <si>
    <t>-89</t>
  </si>
  <si>
    <t>V739LG</t>
  </si>
  <si>
    <t>PR405026</t>
  </si>
  <si>
    <t>12790</t>
  </si>
  <si>
    <t>V772LG</t>
  </si>
  <si>
    <t>PR404613</t>
  </si>
  <si>
    <t>NS206AB</t>
  </si>
  <si>
    <t>AAO1574263</t>
  </si>
  <si>
    <t>26890</t>
  </si>
  <si>
    <t>235030</t>
  </si>
  <si>
    <t>235668</t>
  </si>
  <si>
    <t>AAE7651556</t>
  </si>
  <si>
    <t>AAE7651558</t>
  </si>
  <si>
    <t>AAE7651557</t>
  </si>
  <si>
    <t>32580</t>
  </si>
  <si>
    <t>19400</t>
  </si>
  <si>
    <t>AAE7651559</t>
  </si>
  <si>
    <t>AAE7651570</t>
  </si>
  <si>
    <t>25160</t>
  </si>
  <si>
    <t>AAE7651571</t>
  </si>
  <si>
    <t>25570</t>
  </si>
  <si>
    <t>AAE7651572</t>
  </si>
  <si>
    <t>AAE7651573</t>
  </si>
  <si>
    <t>26030</t>
  </si>
  <si>
    <t>AAE7651576</t>
  </si>
  <si>
    <t>AAE7651577</t>
  </si>
  <si>
    <t>38310</t>
  </si>
  <si>
    <t>14010</t>
  </si>
  <si>
    <t>24300</t>
  </si>
  <si>
    <t>AAE7651578</t>
  </si>
  <si>
    <t>15300</t>
  </si>
  <si>
    <t>AAE7651579</t>
  </si>
  <si>
    <t>24970</t>
  </si>
  <si>
    <t>AAE7651580</t>
  </si>
  <si>
    <t>39450</t>
  </si>
  <si>
    <t>AAE7651582</t>
  </si>
  <si>
    <t>39090</t>
  </si>
  <si>
    <t>создан 11.01.23 в 16:27:32</t>
  </si>
  <si>
    <t>AAE7651583</t>
  </si>
  <si>
    <t>25990</t>
  </si>
  <si>
    <t>AAE7651584</t>
  </si>
  <si>
    <t>32320</t>
  </si>
  <si>
    <t>19140</t>
  </si>
  <si>
    <t>AAE7651585</t>
  </si>
  <si>
    <t>38050</t>
  </si>
  <si>
    <t>AAE7651586</t>
  </si>
  <si>
    <t>AAE7651587</t>
  </si>
  <si>
    <t>40330</t>
  </si>
  <si>
    <t>AAE7651588</t>
  </si>
  <si>
    <t>AAE7651589</t>
  </si>
  <si>
    <t>39000</t>
  </si>
  <si>
    <t>38910</t>
  </si>
  <si>
    <t>25520</t>
  </si>
  <si>
    <t>19460</t>
  </si>
  <si>
    <t>568420</t>
  </si>
  <si>
    <t>569212</t>
  </si>
  <si>
    <t>IP Instit Stiintifico Practic</t>
  </si>
  <si>
    <t>Общий вес продукта согласно выписанной накладной (суммы масс по каждому отсеку автоцистерны- колонка Х)</t>
  </si>
  <si>
    <t>Фактическая масса с данных весов</t>
  </si>
  <si>
    <t>Анализ данных, кг нефтепродуктов</t>
  </si>
  <si>
    <t>прямая поставка на АЗС минуя Депо</t>
  </si>
  <si>
    <t>прямая поставка</t>
  </si>
  <si>
    <t>Truck Number</t>
  </si>
  <si>
    <t>Loading Date</t>
  </si>
  <si>
    <t>Gas Station Number (destination place)</t>
  </si>
  <si>
    <t>Product density</t>
  </si>
  <si>
    <t>SAP Product Code</t>
  </si>
  <si>
    <t>Fuel Type</t>
  </si>
  <si>
    <t>SAP Company Code (MD18 Rompetrol Moldova)</t>
  </si>
  <si>
    <t xml:space="preserve">Loading place </t>
  </si>
  <si>
    <t>Loading Quantity - Litres 15/20 Degree</t>
  </si>
  <si>
    <t>Fuel Temperature C</t>
  </si>
  <si>
    <t>Transport Company</t>
  </si>
  <si>
    <t>Driver Name</t>
  </si>
  <si>
    <t>Year</t>
  </si>
  <si>
    <t>Данные из бухгалтерского учета SAP</t>
  </si>
  <si>
    <t>Loading Quantity - Kg (Invoced mass)</t>
  </si>
  <si>
    <t>Колонка C-D, при отсутствия манипуляций результат равен нулю</t>
  </si>
  <si>
    <t>Разница между фактическим весом и расчетным весом (Плотность*Объем)  указаным в отчете софта весов</t>
  </si>
  <si>
    <t>Обратный расчет расчетной массы из данных талона на погрузку. Данные на основе которых выписываеться накладная и данные которые должны вводиться в софт весов в колонку 'K' рубрика 'Разница'</t>
  </si>
  <si>
    <t>Итог дня</t>
  </si>
  <si>
    <t>Итог дня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</si>
</sst>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9" x14ac:knownFonts="1">
    <font>
      <sz val="10"/>
      <name val="Arial"/>
    </font>
    <font>
      <sz val="10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  <charset val="204"/>
      <scheme val="minor"/>
    </font>
    <font>
      <sz val="7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0"/>
      <name val="Arial"/>
      <family val="2"/>
    </font>
    <font>
      <b/>
      <sz val="1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4E4E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 style="thin">
        <color indexed="64"/>
      </bottom>
      <diagonal/>
    </border>
    <border>
      <left/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/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/>
      <right style="thin">
        <color indexed="64"/>
      </right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0" fontId="2" fillId="0" borderId="0">
      <alignment horizontal="left" vertical="top"/>
    </xf>
    <xf numFmtId="0" fontId="3" fillId="0" borderId="0"/>
    <xf numFmtId="0" fontId="4" fillId="2" borderId="0">
      <alignment horizontal="right" vertical="top"/>
    </xf>
    <xf numFmtId="0" fontId="4" fillId="0" borderId="0">
      <alignment horizontal="left" vertical="top"/>
    </xf>
    <xf numFmtId="0" fontId="5" fillId="0" borderId="0">
      <alignment horizontal="center" vertical="top"/>
    </xf>
    <xf numFmtId="0" fontId="6" fillId="0" borderId="0">
      <alignment horizontal="left" vertical="top"/>
    </xf>
    <xf numFmtId="0" fontId="6" fillId="0" borderId="0">
      <alignment horizontal="right" vertical="top"/>
    </xf>
    <xf numFmtId="0" fontId="5" fillId="0" borderId="0">
      <alignment horizontal="left" vertical="top"/>
    </xf>
    <xf numFmtId="0" fontId="5" fillId="0" borderId="0">
      <alignment horizontal="right" vertical="top"/>
    </xf>
    <xf numFmtId="0" fontId="5" fillId="3" borderId="0">
      <alignment horizontal="right" vertical="top"/>
    </xf>
    <xf numFmtId="0" fontId="5" fillId="0" borderId="0">
      <alignment horizontal="right" vertical="top"/>
    </xf>
    <xf numFmtId="0" fontId="6" fillId="0" borderId="0">
      <alignment horizontal="left" vertical="top"/>
    </xf>
    <xf numFmtId="0" fontId="6" fillId="0" borderId="0">
      <alignment horizontal="right" vertical="top"/>
    </xf>
  </cellStyleXfs>
  <cellXfs count="177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3" fillId="0" borderId="0" xfId="2" applyAlignment="1">
      <alignment wrapText="1"/>
    </xf>
    <xf numFmtId="0" fontId="4" fillId="2" borderId="0" xfId="3" quotePrefix="1" applyAlignment="1">
      <alignment horizontal="right" vertical="top" wrapText="1"/>
    </xf>
    <xf numFmtId="0" fontId="5" fillId="0" borderId="5" xfId="5" quotePrefix="1" applyBorder="1" applyAlignment="1">
      <alignment horizontal="center" vertical="top" wrapText="1"/>
    </xf>
    <xf numFmtId="0" fontId="5" fillId="0" borderId="6" xfId="5" quotePrefix="1" applyBorder="1" applyAlignment="1">
      <alignment horizontal="center" vertical="top" wrapText="1"/>
    </xf>
    <xf numFmtId="0" fontId="5" fillId="0" borderId="9" xfId="5" quotePrefix="1" applyBorder="1" applyAlignment="1">
      <alignment horizontal="center" vertical="top" wrapText="1"/>
    </xf>
    <xf numFmtId="0" fontId="6" fillId="0" borderId="10" xfId="6" quotePrefix="1" applyBorder="1" applyAlignment="1">
      <alignment horizontal="left" vertical="top" wrapText="1"/>
    </xf>
    <xf numFmtId="0" fontId="6" fillId="0" borderId="5" xfId="6" quotePrefix="1" applyBorder="1" applyAlignment="1">
      <alignment horizontal="left" vertical="top" wrapText="1"/>
    </xf>
    <xf numFmtId="0" fontId="6" fillId="0" borderId="10" xfId="7" quotePrefix="1" applyBorder="1" applyAlignment="1">
      <alignment horizontal="right" vertical="top" wrapText="1"/>
    </xf>
    <xf numFmtId="0" fontId="6" fillId="0" borderId="5" xfId="7" quotePrefix="1" applyBorder="1" applyAlignment="1">
      <alignment horizontal="right" vertical="top" wrapText="1"/>
    </xf>
    <xf numFmtId="0" fontId="5" fillId="0" borderId="0" xfId="9" quotePrefix="1" applyAlignment="1">
      <alignment horizontal="right" vertical="top" wrapText="1"/>
    </xf>
    <xf numFmtId="0" fontId="5" fillId="0" borderId="6" xfId="11" quotePrefix="1" applyBorder="1" applyAlignment="1">
      <alignment horizontal="right" vertical="top" wrapText="1"/>
    </xf>
    <xf numFmtId="0" fontId="6" fillId="0" borderId="0" xfId="6" quotePrefix="1" applyAlignment="1">
      <alignment horizontal="left" vertical="top" wrapText="1"/>
    </xf>
    <xf numFmtId="0" fontId="6" fillId="0" borderId="0" xfId="7" quotePrefix="1" applyAlignment="1">
      <alignment horizontal="right" vertical="top" wrapText="1"/>
    </xf>
    <xf numFmtId="0" fontId="6" fillId="0" borderId="14" xfId="6" quotePrefix="1" applyBorder="1" applyAlignment="1">
      <alignment horizontal="left" vertical="top" wrapText="1"/>
    </xf>
    <xf numFmtId="0" fontId="5" fillId="0" borderId="15" xfId="5" quotePrefix="1" applyBorder="1" applyAlignment="1">
      <alignment horizontal="center" vertical="top" wrapText="1"/>
    </xf>
    <xf numFmtId="0" fontId="5" fillId="0" borderId="18" xfId="5" quotePrefix="1" applyBorder="1" applyAlignment="1">
      <alignment horizontal="center" vertical="top" wrapText="1"/>
    </xf>
    <xf numFmtId="0" fontId="6" fillId="0" borderId="19" xfId="6" quotePrefix="1" applyBorder="1" applyAlignment="1">
      <alignment horizontal="left" vertical="top" wrapText="1"/>
    </xf>
    <xf numFmtId="0" fontId="6" fillId="0" borderId="19" xfId="7" quotePrefix="1" applyBorder="1" applyAlignment="1">
      <alignment horizontal="right" vertical="top" wrapText="1"/>
    </xf>
    <xf numFmtId="0" fontId="6" fillId="0" borderId="15" xfId="6" quotePrefix="1" applyBorder="1" applyAlignment="1">
      <alignment horizontal="left" vertical="top" wrapText="1"/>
    </xf>
    <xf numFmtId="0" fontId="6" fillId="0" borderId="15" xfId="7" quotePrefix="1" applyBorder="1" applyAlignment="1">
      <alignment horizontal="right" vertical="top" wrapText="1"/>
    </xf>
    <xf numFmtId="0" fontId="6" fillId="0" borderId="18" xfId="6" quotePrefix="1" applyBorder="1" applyAlignment="1">
      <alignment horizontal="left" vertical="top" wrapText="1"/>
    </xf>
    <xf numFmtId="0" fontId="6" fillId="0" borderId="6" xfId="7" quotePrefix="1" applyBorder="1" applyAlignment="1">
      <alignment horizontal="right" vertical="top" wrapText="1"/>
    </xf>
    <xf numFmtId="0" fontId="6" fillId="0" borderId="6" xfId="6" quotePrefix="1" applyBorder="1" applyAlignment="1">
      <alignment horizontal="left" vertical="top" wrapText="1"/>
    </xf>
    <xf numFmtId="0" fontId="6" fillId="0" borderId="9" xfId="6" quotePrefix="1" applyBorder="1" applyAlignment="1">
      <alignment horizontal="left" vertical="top" wrapText="1"/>
    </xf>
    <xf numFmtId="0" fontId="6" fillId="0" borderId="25" xfId="7" quotePrefix="1" applyBorder="1" applyAlignment="1">
      <alignment horizontal="right" vertical="top" wrapText="1"/>
    </xf>
    <xf numFmtId="0" fontId="6" fillId="0" borderId="25" xfId="6" quotePrefix="1" applyBorder="1" applyAlignment="1">
      <alignment horizontal="left" vertical="top" wrapText="1"/>
    </xf>
    <xf numFmtId="0" fontId="6" fillId="0" borderId="26" xfId="6" quotePrefix="1" applyBorder="1" applyAlignment="1">
      <alignment horizontal="left" vertical="top" wrapText="1"/>
    </xf>
    <xf numFmtId="0" fontId="6" fillId="4" borderId="6" xfId="6" quotePrefix="1" applyFill="1" applyBorder="1" applyAlignment="1">
      <alignment horizontal="left" vertical="top" wrapText="1"/>
    </xf>
    <xf numFmtId="0" fontId="6" fillId="4" borderId="25" xfId="6" quotePrefix="1" applyFill="1" applyBorder="1" applyAlignment="1">
      <alignment horizontal="left" vertical="top" wrapText="1"/>
    </xf>
    <xf numFmtId="0" fontId="6" fillId="4" borderId="6" xfId="7" quotePrefix="1" applyFill="1" applyBorder="1" applyAlignment="1">
      <alignment horizontal="right" vertical="top" wrapText="1"/>
    </xf>
    <xf numFmtId="0" fontId="6" fillId="4" borderId="25" xfId="7" quotePrefix="1" applyFill="1" applyBorder="1" applyAlignment="1">
      <alignment horizontal="right" vertical="top" wrapText="1"/>
    </xf>
    <xf numFmtId="0" fontId="6" fillId="0" borderId="12" xfId="6" quotePrefix="1" applyBorder="1" applyAlignment="1">
      <alignment horizontal="left" vertical="top" wrapText="1"/>
    </xf>
    <xf numFmtId="0" fontId="6" fillId="0" borderId="12" xfId="7" quotePrefix="1" applyBorder="1" applyAlignment="1">
      <alignment horizontal="right" vertical="top" wrapText="1"/>
    </xf>
    <xf numFmtId="0" fontId="6" fillId="0" borderId="8" xfId="6" quotePrefix="1" applyBorder="1" applyAlignment="1">
      <alignment horizontal="left" vertical="top" wrapText="1"/>
    </xf>
    <xf numFmtId="0" fontId="6" fillId="0" borderId="27" xfId="6" quotePrefix="1" applyBorder="1" applyAlignment="1">
      <alignment horizontal="left" vertical="top" wrapText="1"/>
    </xf>
    <xf numFmtId="0" fontId="6" fillId="0" borderId="27" xfId="7" quotePrefix="1" applyBorder="1" applyAlignment="1">
      <alignment horizontal="right" vertical="top" wrapText="1"/>
    </xf>
    <xf numFmtId="0" fontId="3" fillId="6" borderId="0" xfId="2" applyFill="1" applyAlignment="1">
      <alignment wrapText="1"/>
    </xf>
    <xf numFmtId="0" fontId="6" fillId="0" borderId="29" xfId="6" quotePrefix="1" applyBorder="1" applyAlignment="1">
      <alignment horizontal="left" vertical="top" wrapText="1"/>
    </xf>
    <xf numFmtId="0" fontId="6" fillId="0" borderId="31" xfId="7" quotePrefix="1" applyBorder="1" applyAlignment="1">
      <alignment horizontal="right" vertical="top" wrapText="1"/>
    </xf>
    <xf numFmtId="0" fontId="6" fillId="0" borderId="32" xfId="6" quotePrefix="1" applyBorder="1" applyAlignment="1">
      <alignment horizontal="left" vertical="top" wrapText="1"/>
    </xf>
    <xf numFmtId="0" fontId="6" fillId="0" borderId="32" xfId="7" quotePrefix="1" applyBorder="1" applyAlignment="1">
      <alignment horizontal="right" vertical="top" wrapText="1"/>
    </xf>
    <xf numFmtId="0" fontId="6" fillId="0" borderId="33" xfId="6" quotePrefix="1" applyBorder="1" applyAlignment="1">
      <alignment horizontal="left" vertical="top" wrapText="1"/>
    </xf>
    <xf numFmtId="0" fontId="6" fillId="0" borderId="34" xfId="6" quotePrefix="1" applyBorder="1" applyAlignment="1">
      <alignment horizontal="left" vertical="top" wrapText="1"/>
    </xf>
    <xf numFmtId="0" fontId="5" fillId="0" borderId="35" xfId="5" quotePrefix="1" applyBorder="1" applyAlignment="1">
      <alignment horizontal="center" vertical="top" wrapText="1"/>
    </xf>
    <xf numFmtId="0" fontId="5" fillId="0" borderId="36" xfId="5" quotePrefix="1" applyBorder="1" applyAlignment="1">
      <alignment horizontal="center" vertical="top" wrapText="1"/>
    </xf>
    <xf numFmtId="0" fontId="6" fillId="6" borderId="15" xfId="6" quotePrefix="1" applyFill="1" applyBorder="1" applyAlignment="1">
      <alignment horizontal="left" vertical="top" wrapText="1"/>
    </xf>
    <xf numFmtId="0" fontId="6" fillId="6" borderId="19" xfId="6" quotePrefix="1" applyFill="1" applyBorder="1" applyAlignment="1">
      <alignment horizontal="left" vertical="top" wrapText="1"/>
    </xf>
    <xf numFmtId="0" fontId="6" fillId="6" borderId="15" xfId="7" quotePrefix="1" applyFill="1" applyBorder="1" applyAlignment="1">
      <alignment horizontal="right" vertical="top" wrapText="1"/>
    </xf>
    <xf numFmtId="0" fontId="6" fillId="6" borderId="19" xfId="7" quotePrefix="1" applyFill="1" applyBorder="1" applyAlignment="1">
      <alignment horizontal="right" vertical="top" wrapText="1"/>
    </xf>
    <xf numFmtId="0" fontId="6" fillId="0" borderId="37" xfId="6" quotePrefix="1" applyBorder="1" applyAlignment="1">
      <alignment horizontal="left" vertical="top" wrapText="1"/>
    </xf>
    <xf numFmtId="0" fontId="6" fillId="0" borderId="38" xfId="6" quotePrefix="1" applyBorder="1" applyAlignment="1">
      <alignment horizontal="left" vertical="top" wrapText="1"/>
    </xf>
    <xf numFmtId="0" fontId="6" fillId="0" borderId="38" xfId="7" quotePrefix="1" applyBorder="1" applyAlignment="1">
      <alignment horizontal="right" vertical="top" wrapText="1"/>
    </xf>
    <xf numFmtId="0" fontId="5" fillId="0" borderId="25" xfId="5" quotePrefix="1" applyBorder="1" applyAlignment="1">
      <alignment horizontal="center" vertical="top" wrapText="1"/>
    </xf>
    <xf numFmtId="3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vertical="center"/>
    </xf>
    <xf numFmtId="164" fontId="7" fillId="8" borderId="1" xfId="0" applyNumberFormat="1" applyFont="1" applyFill="1" applyBorder="1" applyAlignment="1">
      <alignment horizontal="center" vertical="center"/>
    </xf>
    <xf numFmtId="3" fontId="7" fillId="7" borderId="1" xfId="0" applyNumberFormat="1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/>
    </xf>
    <xf numFmtId="3" fontId="1" fillId="4" borderId="39" xfId="0" applyNumberFormat="1" applyFont="1" applyFill="1" applyBorder="1" applyAlignment="1">
      <alignment horizontal="center" vertical="center" wrapText="1"/>
    </xf>
    <xf numFmtId="3" fontId="1" fillId="4" borderId="40" xfId="0" applyNumberFormat="1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3" fontId="7" fillId="7" borderId="39" xfId="0" applyNumberFormat="1" applyFont="1" applyFill="1" applyBorder="1" applyAlignment="1">
      <alignment horizontal="center" vertical="center"/>
    </xf>
    <xf numFmtId="3" fontId="7" fillId="7" borderId="40" xfId="0" applyNumberFormat="1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3" fontId="7" fillId="8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left" vertical="center" wrapText="1"/>
    </xf>
    <xf numFmtId="3" fontId="0" fillId="4" borderId="1" xfId="0" applyNumberFormat="1" applyFill="1" applyBorder="1" applyAlignment="1">
      <alignment horizontal="left" vertical="center" wrapText="1"/>
    </xf>
    <xf numFmtId="3" fontId="7" fillId="4" borderId="1" xfId="0" applyNumberFormat="1" applyFont="1" applyFill="1" applyBorder="1" applyAlignment="1">
      <alignment horizontal="center" vertical="center"/>
    </xf>
    <xf numFmtId="0" fontId="2" fillId="0" borderId="0" xfId="1" quotePrefix="1" applyAlignment="1">
      <alignment horizontal="left" vertical="top" wrapText="1"/>
    </xf>
    <xf numFmtId="0" fontId="3" fillId="0" borderId="0" xfId="2" applyAlignment="1">
      <alignment vertical="top" wrapText="1"/>
    </xf>
    <xf numFmtId="0" fontId="4" fillId="0" borderId="0" xfId="4" quotePrefix="1" applyAlignment="1">
      <alignment horizontal="left" vertical="top" wrapText="1"/>
    </xf>
    <xf numFmtId="0" fontId="5" fillId="0" borderId="2" xfId="5" quotePrefix="1" applyBorder="1" applyAlignment="1">
      <alignment horizontal="center" vertical="top" wrapText="1"/>
    </xf>
    <xf numFmtId="0" fontId="3" fillId="0" borderId="3" xfId="2" applyBorder="1" applyAlignment="1">
      <alignment vertical="top" wrapText="1"/>
    </xf>
    <xf numFmtId="0" fontId="3" fillId="0" borderId="4" xfId="2" applyBorder="1" applyAlignment="1">
      <alignment vertical="top" wrapText="1"/>
    </xf>
    <xf numFmtId="0" fontId="5" fillId="6" borderId="7" xfId="5" quotePrefix="1" applyFill="1" applyBorder="1" applyAlignment="1">
      <alignment horizontal="center" vertical="top" wrapText="1"/>
    </xf>
    <xf numFmtId="0" fontId="3" fillId="6" borderId="8" xfId="2" applyFill="1" applyBorder="1" applyAlignment="1">
      <alignment vertical="top" wrapText="1"/>
    </xf>
    <xf numFmtId="0" fontId="6" fillId="0" borderId="2" xfId="6" quotePrefix="1" applyBorder="1" applyAlignment="1">
      <alignment horizontal="left" vertical="top" wrapText="1"/>
    </xf>
    <xf numFmtId="0" fontId="6" fillId="6" borderId="2" xfId="7" quotePrefix="1" applyFill="1" applyBorder="1" applyAlignment="1">
      <alignment horizontal="right" vertical="top" wrapText="1"/>
    </xf>
    <xf numFmtId="0" fontId="3" fillId="6" borderId="4" xfId="2" applyFill="1" applyBorder="1" applyAlignment="1">
      <alignment vertical="top" wrapText="1"/>
    </xf>
    <xf numFmtId="0" fontId="5" fillId="0" borderId="11" xfId="5" quotePrefix="1" applyBorder="1" applyAlignment="1">
      <alignment horizontal="center" vertical="top" wrapText="1"/>
    </xf>
    <xf numFmtId="0" fontId="3" fillId="0" borderId="12" xfId="2" applyBorder="1" applyAlignment="1">
      <alignment vertical="top" wrapText="1"/>
    </xf>
    <xf numFmtId="0" fontId="3" fillId="0" borderId="8" xfId="2" applyBorder="1" applyAlignment="1">
      <alignment vertical="top" wrapText="1"/>
    </xf>
    <xf numFmtId="0" fontId="5" fillId="0" borderId="0" xfId="8" quotePrefix="1" applyAlignment="1">
      <alignment horizontal="left" vertical="top" wrapText="1"/>
    </xf>
    <xf numFmtId="0" fontId="5" fillId="6" borderId="10" xfId="9" quotePrefix="1" applyFill="1" applyBorder="1" applyAlignment="1">
      <alignment horizontal="right" vertical="top" wrapText="1"/>
    </xf>
    <xf numFmtId="0" fontId="3" fillId="6" borderId="10" xfId="2" applyFill="1" applyBorder="1" applyAlignment="1">
      <alignment vertical="top" wrapText="1"/>
    </xf>
    <xf numFmtId="0" fontId="5" fillId="3" borderId="0" xfId="10" quotePrefix="1" applyAlignment="1">
      <alignment horizontal="right" vertical="top" wrapText="1"/>
    </xf>
    <xf numFmtId="0" fontId="5" fillId="6" borderId="6" xfId="11" quotePrefix="1" applyFill="1" applyBorder="1" applyAlignment="1">
      <alignment horizontal="right" vertical="top" wrapText="1"/>
    </xf>
    <xf numFmtId="0" fontId="3" fillId="6" borderId="6" xfId="2" applyFill="1" applyBorder="1" applyAlignment="1">
      <alignment vertical="top" wrapText="1"/>
    </xf>
    <xf numFmtId="0" fontId="5" fillId="0" borderId="0" xfId="9" quotePrefix="1" applyAlignment="1">
      <alignment horizontal="right" vertical="top" wrapText="1"/>
    </xf>
    <xf numFmtId="0" fontId="6" fillId="0" borderId="13" xfId="6" quotePrefix="1" applyBorder="1" applyAlignment="1">
      <alignment horizontal="left" vertical="top" wrapText="1"/>
    </xf>
    <xf numFmtId="0" fontId="5" fillId="6" borderId="16" xfId="5" quotePrefix="1" applyFill="1" applyBorder="1" applyAlignment="1">
      <alignment horizontal="center" vertical="top" wrapText="1"/>
    </xf>
    <xf numFmtId="0" fontId="3" fillId="6" borderId="17" xfId="2" applyFill="1" applyBorder="1" applyAlignment="1">
      <alignment vertical="top" wrapText="1"/>
    </xf>
    <xf numFmtId="0" fontId="6" fillId="6" borderId="16" xfId="7" quotePrefix="1" applyFill="1" applyBorder="1" applyAlignment="1">
      <alignment horizontal="right" vertical="top" wrapText="1"/>
    </xf>
    <xf numFmtId="0" fontId="6" fillId="0" borderId="20" xfId="6" quotePrefix="1" applyBorder="1" applyAlignment="1">
      <alignment horizontal="left" vertical="top" wrapText="1"/>
    </xf>
    <xf numFmtId="0" fontId="3" fillId="0" borderId="21" xfId="2" applyBorder="1" applyAlignment="1">
      <alignment vertical="top" wrapText="1"/>
    </xf>
    <xf numFmtId="0" fontId="6" fillId="0" borderId="24" xfId="6" quotePrefix="1" applyBorder="1" applyAlignment="1">
      <alignment horizontal="left" vertical="top" wrapText="1"/>
    </xf>
    <xf numFmtId="0" fontId="3" fillId="0" borderId="15" xfId="2" applyBorder="1" applyAlignment="1">
      <alignment vertical="top" wrapText="1"/>
    </xf>
    <xf numFmtId="0" fontId="3" fillId="0" borderId="17" xfId="2" applyBorder="1" applyAlignment="1">
      <alignment vertical="top" wrapText="1"/>
    </xf>
    <xf numFmtId="0" fontId="6" fillId="0" borderId="16" xfId="6" quotePrefix="1" applyBorder="1" applyAlignment="1">
      <alignment horizontal="left" vertical="top" wrapText="1"/>
    </xf>
    <xf numFmtId="0" fontId="6" fillId="0" borderId="22" xfId="6" quotePrefix="1" applyBorder="1" applyAlignment="1">
      <alignment horizontal="left" vertical="top" wrapText="1"/>
    </xf>
    <xf numFmtId="0" fontId="3" fillId="0" borderId="23" xfId="2" applyBorder="1" applyAlignment="1">
      <alignment vertical="top" wrapText="1"/>
    </xf>
    <xf numFmtId="0" fontId="6" fillId="6" borderId="20" xfId="7" quotePrefix="1" applyFill="1" applyBorder="1" applyAlignment="1">
      <alignment horizontal="right" vertical="top" wrapText="1"/>
    </xf>
    <xf numFmtId="0" fontId="3" fillId="6" borderId="21" xfId="2" applyFill="1" applyBorder="1" applyAlignment="1">
      <alignment vertical="top" wrapText="1"/>
    </xf>
    <xf numFmtId="0" fontId="6" fillId="6" borderId="7" xfId="7" quotePrefix="1" applyFill="1" applyBorder="1" applyAlignment="1">
      <alignment horizontal="right" vertical="top" wrapText="1"/>
    </xf>
    <xf numFmtId="0" fontId="6" fillId="0" borderId="7" xfId="6" quotePrefix="1" applyBorder="1" applyAlignment="1">
      <alignment horizontal="left" vertical="top" wrapText="1"/>
    </xf>
    <xf numFmtId="0" fontId="6" fillId="4" borderId="2" xfId="7" quotePrefix="1" applyFill="1" applyBorder="1" applyAlignment="1">
      <alignment horizontal="right" vertical="top" wrapText="1"/>
    </xf>
    <xf numFmtId="0" fontId="3" fillId="4" borderId="4" xfId="2" applyFill="1" applyBorder="1" applyAlignment="1">
      <alignment vertical="top" wrapText="1"/>
    </xf>
    <xf numFmtId="0" fontId="5" fillId="6" borderId="2" xfId="5" quotePrefix="1" applyFill="1" applyBorder="1" applyAlignment="1">
      <alignment horizontal="center" vertical="top" wrapText="1"/>
    </xf>
    <xf numFmtId="0" fontId="5" fillId="0" borderId="7" xfId="5" quotePrefix="1" applyBorder="1" applyAlignment="1">
      <alignment horizontal="center" vertical="top" wrapText="1"/>
    </xf>
    <xf numFmtId="0" fontId="6" fillId="0" borderId="11" xfId="6" quotePrefix="1" applyBorder="1" applyAlignment="1">
      <alignment horizontal="left" vertical="top" wrapText="1"/>
    </xf>
    <xf numFmtId="0" fontId="6" fillId="4" borderId="7" xfId="7" quotePrefix="1" applyFill="1" applyBorder="1" applyAlignment="1">
      <alignment horizontal="right" vertical="top" wrapText="1"/>
    </xf>
    <xf numFmtId="0" fontId="3" fillId="4" borderId="8" xfId="2" applyFill="1" applyBorder="1" applyAlignment="1">
      <alignment vertical="top" wrapText="1"/>
    </xf>
    <xf numFmtId="0" fontId="6" fillId="4" borderId="20" xfId="7" quotePrefix="1" applyFill="1" applyBorder="1" applyAlignment="1">
      <alignment horizontal="right" vertical="top" wrapText="1"/>
    </xf>
    <xf numFmtId="0" fontId="3" fillId="4" borderId="21" xfId="2" applyFill="1" applyBorder="1" applyAlignment="1">
      <alignment vertical="top" wrapText="1"/>
    </xf>
    <xf numFmtId="0" fontId="6" fillId="0" borderId="0" xfId="12" quotePrefix="1" applyAlignment="1">
      <alignment horizontal="left" vertical="top" wrapText="1"/>
    </xf>
    <xf numFmtId="0" fontId="6" fillId="0" borderId="0" xfId="13" quotePrefix="1" applyAlignment="1">
      <alignment horizontal="right" vertical="top" wrapText="1"/>
    </xf>
    <xf numFmtId="0" fontId="6" fillId="5" borderId="7" xfId="7" quotePrefix="1" applyFill="1" applyBorder="1" applyAlignment="1">
      <alignment horizontal="right" vertical="top" wrapText="1"/>
    </xf>
    <xf numFmtId="0" fontId="3" fillId="5" borderId="8" xfId="2" applyFill="1" applyBorder="1" applyAlignment="1">
      <alignment vertical="top" wrapText="1"/>
    </xf>
    <xf numFmtId="0" fontId="6" fillId="5" borderId="20" xfId="7" quotePrefix="1" applyFill="1" applyBorder="1" applyAlignment="1">
      <alignment horizontal="right" vertical="top" wrapText="1"/>
    </xf>
    <xf numFmtId="0" fontId="3" fillId="5" borderId="21" xfId="2" applyFill="1" applyBorder="1" applyAlignment="1">
      <alignment vertical="top" wrapText="1"/>
    </xf>
    <xf numFmtId="0" fontId="6" fillId="4" borderId="20" xfId="6" quotePrefix="1" applyFill="1" applyBorder="1" applyAlignment="1">
      <alignment horizontal="left" vertical="top" wrapText="1"/>
    </xf>
    <xf numFmtId="0" fontId="3" fillId="4" borderId="23" xfId="2" applyFill="1" applyBorder="1" applyAlignment="1">
      <alignment vertical="top" wrapText="1"/>
    </xf>
    <xf numFmtId="0" fontId="6" fillId="4" borderId="7" xfId="6" quotePrefix="1" applyFill="1" applyBorder="1" applyAlignment="1">
      <alignment horizontal="left" vertical="top" wrapText="1"/>
    </xf>
    <xf numFmtId="0" fontId="6" fillId="4" borderId="16" xfId="7" quotePrefix="1" applyFill="1" applyBorder="1" applyAlignment="1">
      <alignment horizontal="right" vertical="top" wrapText="1"/>
    </xf>
    <xf numFmtId="0" fontId="3" fillId="4" borderId="17" xfId="2" applyFill="1" applyBorder="1" applyAlignment="1">
      <alignment vertical="top" wrapText="1"/>
    </xf>
    <xf numFmtId="0" fontId="3" fillId="0" borderId="18" xfId="2" applyBorder="1" applyAlignment="1">
      <alignment vertical="top" wrapText="1"/>
    </xf>
    <xf numFmtId="0" fontId="3" fillId="4" borderId="18" xfId="2" applyFill="1" applyBorder="1" applyAlignment="1">
      <alignment vertical="top" wrapText="1"/>
    </xf>
    <xf numFmtId="0" fontId="3" fillId="0" borderId="28" xfId="2" applyBorder="1" applyAlignment="1">
      <alignment vertical="top" wrapText="1"/>
    </xf>
    <xf numFmtId="0" fontId="3" fillId="4" borderId="28" xfId="2" applyFill="1" applyBorder="1" applyAlignment="1">
      <alignment vertical="top" wrapText="1"/>
    </xf>
    <xf numFmtId="0" fontId="6" fillId="0" borderId="2" xfId="7" quotePrefix="1" applyBorder="1" applyAlignment="1">
      <alignment horizontal="right" vertical="top" wrapText="1"/>
    </xf>
    <xf numFmtId="0" fontId="5" fillId="0" borderId="10" xfId="9" quotePrefix="1" applyBorder="1" applyAlignment="1">
      <alignment horizontal="right" vertical="top" wrapText="1"/>
    </xf>
    <xf numFmtId="0" fontId="3" fillId="0" borderId="10" xfId="2" applyBorder="1" applyAlignment="1">
      <alignment vertical="top" wrapText="1"/>
    </xf>
    <xf numFmtId="0" fontId="5" fillId="0" borderId="6" xfId="11" quotePrefix="1" applyBorder="1" applyAlignment="1">
      <alignment horizontal="right" vertical="top" wrapText="1"/>
    </xf>
    <xf numFmtId="0" fontId="3" fillId="0" borderId="6" xfId="2" applyBorder="1" applyAlignment="1">
      <alignment vertical="top" wrapText="1"/>
    </xf>
    <xf numFmtId="0" fontId="5" fillId="0" borderId="16" xfId="5" quotePrefix="1" applyBorder="1" applyAlignment="1">
      <alignment horizontal="center" vertical="top" wrapText="1"/>
    </xf>
    <xf numFmtId="0" fontId="6" fillId="0" borderId="20" xfId="7" quotePrefix="1" applyBorder="1" applyAlignment="1">
      <alignment horizontal="right" vertical="top" wrapText="1"/>
    </xf>
    <xf numFmtId="0" fontId="6" fillId="0" borderId="16" xfId="7" quotePrefix="1" applyBorder="1" applyAlignment="1">
      <alignment horizontal="right" vertical="top" wrapText="1"/>
    </xf>
    <xf numFmtId="0" fontId="6" fillId="0" borderId="7" xfId="7" quotePrefix="1" applyBorder="1" applyAlignment="1">
      <alignment horizontal="right" vertical="top" wrapText="1"/>
    </xf>
    <xf numFmtId="0" fontId="3" fillId="4" borderId="30" xfId="2" applyFill="1" applyBorder="1" applyAlignment="1">
      <alignment vertical="top" wrapText="1"/>
    </xf>
    <xf numFmtId="0" fontId="6" fillId="6" borderId="16" xfId="6" quotePrefix="1" applyFill="1" applyBorder="1" applyAlignment="1">
      <alignment horizontal="left" vertical="top" wrapText="1"/>
    </xf>
    <xf numFmtId="0" fontId="3" fillId="6" borderId="15" xfId="2" applyFill="1" applyBorder="1" applyAlignment="1">
      <alignment vertical="top" wrapText="1"/>
    </xf>
    <xf numFmtId="0" fontId="5" fillId="0" borderId="20" xfId="5" quotePrefix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 wrapText="1"/>
    </xf>
    <xf numFmtId="3" fontId="0" fillId="4" borderId="39" xfId="0" applyNumberFormat="1" applyFill="1" applyBorder="1" applyAlignment="1">
      <alignment horizontal="center" vertical="center"/>
    </xf>
    <xf numFmtId="3" fontId="0" fillId="4" borderId="40" xfId="0" applyNumberFormat="1" applyFill="1" applyBorder="1" applyAlignment="1">
      <alignment horizontal="center" vertical="center"/>
    </xf>
    <xf numFmtId="3" fontId="0" fillId="9" borderId="39" xfId="0" applyNumberFormat="1" applyFill="1" applyBorder="1" applyAlignment="1">
      <alignment horizontal="center" vertical="center"/>
    </xf>
    <xf numFmtId="164" fontId="0" fillId="9" borderId="39" xfId="0" applyNumberFormat="1" applyFill="1" applyBorder="1" applyAlignment="1">
      <alignment horizontal="center" vertical="center"/>
    </xf>
    <xf numFmtId="0" fontId="0" fillId="9" borderId="0" xfId="0" applyFill="1" applyAlignment="1">
      <alignment vertical="top"/>
    </xf>
    <xf numFmtId="14" fontId="0" fillId="9" borderId="0" xfId="0" applyNumberFormat="1" applyFill="1" applyAlignment="1">
      <alignment horizontal="right" vertical="top"/>
    </xf>
    <xf numFmtId="164" fontId="0" fillId="9" borderId="0" xfId="0" applyNumberFormat="1" applyFill="1" applyAlignment="1">
      <alignment horizontal="right" vertical="top"/>
    </xf>
    <xf numFmtId="3" fontId="0" fillId="9" borderId="40" xfId="0" applyNumberFormat="1" applyFill="1" applyBorder="1" applyAlignment="1">
      <alignment horizontal="center" vertical="center"/>
    </xf>
    <xf numFmtId="164" fontId="0" fillId="9" borderId="40" xfId="0" applyNumberFormat="1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3" fontId="7" fillId="9" borderId="39" xfId="0" applyNumberFormat="1" applyFont="1" applyFill="1" applyBorder="1" applyAlignment="1">
      <alignment horizontal="center" vertical="center"/>
    </xf>
    <xf numFmtId="3" fontId="0" fillId="9" borderId="42" xfId="0" applyNumberFormat="1" applyFill="1" applyBorder="1" applyAlignment="1">
      <alignment horizontal="center" vertical="center"/>
    </xf>
    <xf numFmtId="0" fontId="0" fillId="9" borderId="42" xfId="0" applyFill="1" applyBorder="1" applyAlignment="1">
      <alignment horizontal="center" vertical="center"/>
    </xf>
    <xf numFmtId="3" fontId="7" fillId="9" borderId="42" xfId="0" applyNumberFormat="1" applyFont="1" applyFill="1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3" fontId="7" fillId="9" borderId="40" xfId="0" applyNumberFormat="1" applyFont="1" applyFill="1" applyBorder="1" applyAlignment="1">
      <alignment horizontal="center" vertical="center"/>
    </xf>
  </cellXfs>
  <cellStyles count="14">
    <cellStyle name="Normal" xfId="0" builtinId="0"/>
    <cellStyle name="Normal 2" xfId="2"/>
    <cellStyle name="S0" xfId="1"/>
    <cellStyle name="S1" xfId="3"/>
    <cellStyle name="S10" xfId="13"/>
    <cellStyle name="S11" xfId="12"/>
    <cellStyle name="S2" xfId="4"/>
    <cellStyle name="S3" xfId="5"/>
    <cellStyle name="S4" xfId="6"/>
    <cellStyle name="S5" xfId="7"/>
    <cellStyle name="S6" xfId="9"/>
    <cellStyle name="S7" xfId="8"/>
    <cellStyle name="S8" xfId="10"/>
    <cellStyle name="S9" xf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250371</xdr:colOff>
      <xdr:row>258</xdr:row>
      <xdr:rowOff>43542</xdr:rowOff>
    </xdr:from>
    <xdr:to>
      <xdr:col>3</xdr:col>
      <xdr:colOff>1872342</xdr:colOff>
      <xdr:row>262</xdr:row>
      <xdr:rowOff>-1</xdr:rowOff>
    </xdr:to>
    <xdr:sp macro="" textlink="">
      <xdr:nvSpPr>
        <xdr:cNvPr id="6" name="Speech Bubble: Rectangle with Corners Rounded 5">
          <a:extLst>
            <a:ext uri="{FF2B5EF4-FFF2-40B4-BE49-F238E27FC236}">
              <a16:creationId xmlns:a16="http://schemas.microsoft.com/office/drawing/2014/main" id="{FEC61437-68D0-4B36-9DF7-C9206CA3E6CF}"/>
            </a:ext>
          </a:extLst>
        </xdr:cNvPr>
        <xdr:cNvSpPr/>
      </xdr:nvSpPr>
      <xdr:spPr>
        <a:xfrm>
          <a:off x="5475514" y="43793228"/>
          <a:ext cx="3646714" cy="609600"/>
        </a:xfrm>
        <a:prstGeom prst="wedgeRoundRectCallout">
          <a:avLst>
            <a:gd name="adj1" fmla="val -106772"/>
            <a:gd name="adj2" fmla="val 47740"/>
            <a:gd name="adj3" fmla="val 16667"/>
          </a:avLst>
        </a:prstGeom>
        <a:solidFill>
          <a:schemeClr val="accent3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Возможно</a:t>
          </a:r>
          <a:r>
            <a:rPr lang="ru-RU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фиктивное снятия с учета </a:t>
          </a:r>
          <a:r>
            <a:rPr lang="ru-RU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нефтепродуктов.</a:t>
          </a:r>
          <a:r>
            <a:rPr lang="ru-RU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Нет данных о взвешивание 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1153884</xdr:colOff>
      <xdr:row>430</xdr:row>
      <xdr:rowOff>152399</xdr:rowOff>
    </xdr:from>
    <xdr:to>
      <xdr:col>5</xdr:col>
      <xdr:colOff>32656</xdr:colOff>
      <xdr:row>440</xdr:row>
      <xdr:rowOff>108856</xdr:rowOff>
    </xdr:to>
    <xdr:sp macro="" textlink="">
      <xdr:nvSpPr>
        <xdr:cNvPr id="8" name="Speech Bubble: Rectangle with Corners Rounded 7">
          <a:extLst>
            <a:ext uri="{FF2B5EF4-FFF2-40B4-BE49-F238E27FC236}">
              <a16:creationId xmlns:a16="http://schemas.microsoft.com/office/drawing/2014/main" id="{E8B712A3-58BA-4F15-8B16-C3BA6B2171E3}"/>
            </a:ext>
          </a:extLst>
        </xdr:cNvPr>
        <xdr:cNvSpPr/>
      </xdr:nvSpPr>
      <xdr:spPr>
        <a:xfrm>
          <a:off x="10428513" y="71987228"/>
          <a:ext cx="903514" cy="1589314"/>
        </a:xfrm>
        <a:prstGeom prst="wedgeRoundRectCallout">
          <a:avLst>
            <a:gd name="adj1" fmla="val -26049"/>
            <a:gd name="adj2" fmla="val 66240"/>
            <a:gd name="adj3" fmla="val 16667"/>
          </a:avLst>
        </a:prstGeom>
        <a:solidFill>
          <a:schemeClr val="accent3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Возможен несанкционированный вывоз нефтепродуктов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</xdr:col>
      <xdr:colOff>413657</xdr:colOff>
      <xdr:row>141</xdr:row>
      <xdr:rowOff>87085</xdr:rowOff>
    </xdr:from>
    <xdr:to>
      <xdr:col>3</xdr:col>
      <xdr:colOff>87086</xdr:colOff>
      <xdr:row>145</xdr:row>
      <xdr:rowOff>76199</xdr:rowOff>
    </xdr:to>
    <xdr:sp macro="" textlink="">
      <xdr:nvSpPr>
        <xdr:cNvPr id="9" name="Speech Bubble: Rectangle with Corners Rounded 3">
          <a:extLst>
            <a:ext uri="{FF2B5EF4-FFF2-40B4-BE49-F238E27FC236}">
              <a16:creationId xmlns:a16="http://schemas.microsoft.com/office/drawing/2014/main" id="{D4DA301C-7ED6-4116-B999-05646C33F795}"/>
            </a:ext>
          </a:extLst>
        </xdr:cNvPr>
        <xdr:cNvSpPr/>
      </xdr:nvSpPr>
      <xdr:spPr>
        <a:xfrm>
          <a:off x="2438400" y="24286028"/>
          <a:ext cx="4278086" cy="642257"/>
        </a:xfrm>
        <a:prstGeom prst="wedgeRoundRectCallout">
          <a:avLst>
            <a:gd name="adj1" fmla="val 107254"/>
            <a:gd name="adj2" fmla="val -5559"/>
            <a:gd name="adj3" fmla="val 16667"/>
          </a:avLst>
        </a:prstGeom>
        <a:solidFill>
          <a:schemeClr val="accent3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Путем манипулирования с плотностью отружаемого топлива, было</a:t>
          </a:r>
          <a:r>
            <a:rPr lang="ru-RU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созданно в течении дня 2326 кг.  фактических излишков</a:t>
          </a:r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0"/>
  <sheetViews>
    <sheetView tabSelected="1" zoomScale="70" zoomScaleNormal="70" workbookViewId="0">
      <pane xSplit="5" ySplit="3" topLeftCell="F55" activePane="bottomRight" state="frozen"/>
      <selection pane="topRight" activeCell="F1" sqref="F1"/>
      <selection pane="bottomLeft" activeCell="A4" sqref="A4"/>
      <selection pane="bottomRight" activeCell="B85" sqref="B85:B86"/>
    </sheetView>
  </sheetViews>
  <sheetFormatPr defaultRowHeight="13.2" x14ac:dyDescent="0.25"/>
  <cols>
    <col min="1" max="1" width="29.44140625" style="56" customWidth="1"/>
    <col min="2" max="2" width="37.5546875" style="56" customWidth="1"/>
    <col min="3" max="3" width="29.44140625" style="57" customWidth="1"/>
    <col min="4" max="4" width="29.44140625" style="56" customWidth="1"/>
    <col min="5" max="5" width="29.44140625" style="57" customWidth="1"/>
    <col min="6" max="6" width="20" bestFit="1" customWidth="1"/>
    <col min="7" max="7" width="14" bestFit="1" customWidth="1"/>
    <col min="8" max="8" width="12.21875" customWidth="1"/>
    <col min="9" max="9" width="10.109375" customWidth="1"/>
    <col min="10" max="10" width="12.77734375" bestFit="1" customWidth="1"/>
    <col min="11" max="11" width="20" bestFit="1" customWidth="1"/>
    <col min="12" max="12" width="14.21875" customWidth="1"/>
    <col min="13" max="13" width="16.109375" bestFit="1" customWidth="1"/>
    <col min="14" max="16" width="11" bestFit="1" customWidth="1"/>
    <col min="17" max="17" width="12.77734375" customWidth="1"/>
    <col min="18" max="18" width="17" bestFit="1" customWidth="1"/>
    <col min="19" max="19" width="14.21875" customWidth="1"/>
    <col min="20" max="20" width="17" bestFit="1" customWidth="1"/>
  </cols>
  <sheetData>
    <row r="1" spans="1:20" ht="17.399999999999999" x14ac:dyDescent="0.25">
      <c r="A1" s="63" t="s">
        <v>1445</v>
      </c>
      <c r="B1" s="63"/>
      <c r="C1" s="63"/>
      <c r="D1" s="63"/>
      <c r="E1" s="63"/>
      <c r="F1" s="155" t="s">
        <v>1461</v>
      </c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</row>
    <row r="2" spans="1:20" ht="47.4" customHeight="1" x14ac:dyDescent="0.25">
      <c r="A2" s="64" t="s">
        <v>1443</v>
      </c>
      <c r="B2" s="64" t="s">
        <v>1444</v>
      </c>
      <c r="C2" s="66" t="s">
        <v>1464</v>
      </c>
      <c r="D2" s="64" t="s">
        <v>1465</v>
      </c>
      <c r="E2" s="66" t="s">
        <v>1463</v>
      </c>
      <c r="F2" s="156" t="s">
        <v>1448</v>
      </c>
      <c r="G2" s="157" t="s">
        <v>1449</v>
      </c>
      <c r="H2" s="158" t="s">
        <v>1450</v>
      </c>
      <c r="I2" s="158" t="s">
        <v>1451</v>
      </c>
      <c r="J2" s="158" t="s">
        <v>1452</v>
      </c>
      <c r="K2" s="157" t="s">
        <v>1453</v>
      </c>
      <c r="L2" s="158" t="s">
        <v>1454</v>
      </c>
      <c r="M2" s="158" t="s">
        <v>1455</v>
      </c>
      <c r="N2" s="160" t="s">
        <v>265</v>
      </c>
      <c r="O2" s="160" t="s">
        <v>1456</v>
      </c>
      <c r="P2" s="160" t="s">
        <v>1462</v>
      </c>
      <c r="Q2" s="158" t="s">
        <v>1457</v>
      </c>
      <c r="R2" s="158" t="s">
        <v>1458</v>
      </c>
      <c r="S2" s="157" t="s">
        <v>1459</v>
      </c>
      <c r="T2" s="157" t="s">
        <v>1460</v>
      </c>
    </row>
    <row r="3" spans="1:20" ht="67.2" customHeight="1" x14ac:dyDescent="0.25">
      <c r="A3" s="65"/>
      <c r="B3" s="65"/>
      <c r="C3" s="67"/>
      <c r="D3" s="65"/>
      <c r="E3" s="67"/>
      <c r="F3" s="156"/>
      <c r="G3" s="157"/>
      <c r="H3" s="158"/>
      <c r="I3" s="158"/>
      <c r="J3" s="158"/>
      <c r="K3" s="157"/>
      <c r="L3" s="158"/>
      <c r="M3" s="158"/>
      <c r="N3" s="158"/>
      <c r="O3" s="158"/>
      <c r="P3" s="158"/>
      <c r="Q3" s="158"/>
      <c r="R3" s="158"/>
      <c r="S3" s="157"/>
      <c r="T3" s="157"/>
    </row>
    <row r="4" spans="1:20" x14ac:dyDescent="0.25">
      <c r="A4" s="74">
        <f>P4+P5+P6</f>
        <v>24343.947</v>
      </c>
      <c r="B4" s="74" t="str">
        <f>'Весы 01.11.2023'!I58</f>
        <v>24300</v>
      </c>
      <c r="C4" s="70" t="str">
        <f>'Весы 01.11.2023'!K59</f>
        <v>-41</v>
      </c>
      <c r="D4" s="74">
        <f t="shared" ref="D4" si="0">B4-C4</f>
        <v>24341</v>
      </c>
      <c r="E4" s="74">
        <f t="shared" ref="E4" si="1">A4-D4</f>
        <v>2.9470000000001164</v>
      </c>
      <c r="F4" t="s">
        <v>5</v>
      </c>
      <c r="G4" s="1">
        <v>45231</v>
      </c>
      <c r="H4" t="s">
        <v>227</v>
      </c>
      <c r="I4" s="159">
        <v>745</v>
      </c>
      <c r="J4" t="s">
        <v>11</v>
      </c>
      <c r="K4" t="s">
        <v>12</v>
      </c>
      <c r="L4" t="s">
        <v>3</v>
      </c>
      <c r="M4" t="s">
        <v>4</v>
      </c>
      <c r="N4" s="2">
        <v>15410</v>
      </c>
      <c r="O4" s="2">
        <v>15391.323</v>
      </c>
      <c r="P4" s="2">
        <v>11480.446</v>
      </c>
      <c r="Q4" t="s">
        <v>48</v>
      </c>
      <c r="R4" t="s">
        <v>6</v>
      </c>
      <c r="S4" t="s">
        <v>102</v>
      </c>
      <c r="T4" t="s">
        <v>8</v>
      </c>
    </row>
    <row r="5" spans="1:20" x14ac:dyDescent="0.25">
      <c r="A5" s="74"/>
      <c r="B5" s="74"/>
      <c r="C5" s="71"/>
      <c r="D5" s="74"/>
      <c r="E5" s="74"/>
      <c r="F5" t="s">
        <v>5</v>
      </c>
      <c r="G5" s="1">
        <v>45231</v>
      </c>
      <c r="H5" t="s">
        <v>227</v>
      </c>
      <c r="I5" t="s">
        <v>56</v>
      </c>
      <c r="J5" t="s">
        <v>20</v>
      </c>
      <c r="K5" t="s">
        <v>21</v>
      </c>
      <c r="L5" t="s">
        <v>3</v>
      </c>
      <c r="M5" t="s">
        <v>4</v>
      </c>
      <c r="N5" s="2">
        <v>7695</v>
      </c>
      <c r="O5" s="2">
        <v>7688.4359999999997</v>
      </c>
      <c r="P5" s="2">
        <v>6421.4769999999999</v>
      </c>
      <c r="Q5" t="s">
        <v>48</v>
      </c>
      <c r="R5" t="s">
        <v>6</v>
      </c>
      <c r="S5" t="s">
        <v>102</v>
      </c>
      <c r="T5" t="s">
        <v>8</v>
      </c>
    </row>
    <row r="6" spans="1:20" x14ac:dyDescent="0.25">
      <c r="A6" s="74"/>
      <c r="B6" s="74"/>
      <c r="C6" s="71"/>
      <c r="D6" s="74"/>
      <c r="E6" s="74"/>
      <c r="F6" t="s">
        <v>5</v>
      </c>
      <c r="G6" s="1">
        <v>45231</v>
      </c>
      <c r="H6" t="s">
        <v>227</v>
      </c>
      <c r="I6" t="s">
        <v>35</v>
      </c>
      <c r="J6" t="s">
        <v>1</v>
      </c>
      <c r="K6" t="s">
        <v>2</v>
      </c>
      <c r="L6" t="s">
        <v>3</v>
      </c>
      <c r="M6" t="s">
        <v>4</v>
      </c>
      <c r="N6" s="2">
        <v>7715</v>
      </c>
      <c r="O6" s="2">
        <v>7708.4269999999997</v>
      </c>
      <c r="P6" s="2">
        <v>6442.0240000000003</v>
      </c>
      <c r="Q6" t="s">
        <v>48</v>
      </c>
      <c r="R6" t="s">
        <v>6</v>
      </c>
      <c r="S6" t="s">
        <v>102</v>
      </c>
      <c r="T6" t="s">
        <v>8</v>
      </c>
    </row>
    <row r="7" spans="1:20" x14ac:dyDescent="0.25">
      <c r="A7" s="74">
        <f t="shared" ref="A7" si="2">P7+P8</f>
        <v>26728.347000000002</v>
      </c>
      <c r="B7" s="74" t="str">
        <f>'Весы 01.11.2023'!I57</f>
        <v>26710</v>
      </c>
      <c r="C7" s="70" t="str">
        <f>'Весы 01.11.2023'!K57</f>
        <v>-18</v>
      </c>
      <c r="D7" s="74">
        <f t="shared" ref="D7" si="3">B7-C7</f>
        <v>26728</v>
      </c>
      <c r="E7" s="74">
        <f t="shared" ref="E7" si="4">A7-D7</f>
        <v>0.34700000000157161</v>
      </c>
      <c r="F7" t="s">
        <v>58</v>
      </c>
      <c r="G7" s="1">
        <v>45231</v>
      </c>
      <c r="H7" t="s">
        <v>224</v>
      </c>
      <c r="I7" t="s">
        <v>35</v>
      </c>
      <c r="J7" t="s">
        <v>1</v>
      </c>
      <c r="K7" t="s">
        <v>2</v>
      </c>
      <c r="L7" t="s">
        <v>3</v>
      </c>
      <c r="M7" t="s">
        <v>4</v>
      </c>
      <c r="N7" s="2">
        <v>20010</v>
      </c>
      <c r="O7" s="2">
        <v>19992.951000000001</v>
      </c>
      <c r="P7" s="2">
        <v>16708.348000000002</v>
      </c>
      <c r="Q7" t="s">
        <v>48</v>
      </c>
      <c r="R7" t="s">
        <v>23</v>
      </c>
      <c r="S7" t="s">
        <v>59</v>
      </c>
      <c r="T7" t="s">
        <v>8</v>
      </c>
    </row>
    <row r="8" spans="1:20" x14ac:dyDescent="0.25">
      <c r="A8" s="74"/>
      <c r="B8" s="74"/>
      <c r="C8" s="71"/>
      <c r="D8" s="74"/>
      <c r="E8" s="74"/>
      <c r="F8" t="s">
        <v>58</v>
      </c>
      <c r="G8" s="1">
        <v>45231</v>
      </c>
      <c r="H8" t="s">
        <v>191</v>
      </c>
      <c r="I8" t="s">
        <v>35</v>
      </c>
      <c r="J8" t="s">
        <v>1</v>
      </c>
      <c r="K8" t="s">
        <v>2</v>
      </c>
      <c r="L8" t="s">
        <v>3</v>
      </c>
      <c r="M8" t="s">
        <v>4</v>
      </c>
      <c r="N8" s="2">
        <v>12000</v>
      </c>
      <c r="O8" s="2">
        <v>11989.776</v>
      </c>
      <c r="P8" s="2">
        <v>10019.999</v>
      </c>
      <c r="Q8" t="s">
        <v>48</v>
      </c>
      <c r="R8" t="s">
        <v>23</v>
      </c>
      <c r="S8" t="s">
        <v>59</v>
      </c>
      <c r="T8" t="s">
        <v>8</v>
      </c>
    </row>
    <row r="9" spans="1:20" x14ac:dyDescent="0.25">
      <c r="A9" s="74">
        <f>P9+P10+P11</f>
        <v>26503</v>
      </c>
      <c r="B9" s="74" t="str">
        <f>'Весы 01.11.2023'!I50</f>
        <v>26460</v>
      </c>
      <c r="C9" s="70" t="str">
        <f>'Весы 01.11.2023'!K50</f>
        <v>-43</v>
      </c>
      <c r="D9" s="74">
        <f t="shared" ref="D9" si="5">B9-C9</f>
        <v>26503</v>
      </c>
      <c r="E9" s="74">
        <f t="shared" ref="E9" si="6">A9-D9</f>
        <v>0</v>
      </c>
      <c r="F9" t="s">
        <v>28</v>
      </c>
      <c r="G9" s="1">
        <v>45231</v>
      </c>
      <c r="H9" t="s">
        <v>235</v>
      </c>
      <c r="I9" t="s">
        <v>114</v>
      </c>
      <c r="J9" t="s">
        <v>11</v>
      </c>
      <c r="K9" t="s">
        <v>12</v>
      </c>
      <c r="L9" t="s">
        <v>3</v>
      </c>
      <c r="M9" t="s">
        <v>4</v>
      </c>
      <c r="N9" s="2">
        <v>11000</v>
      </c>
      <c r="O9" s="2">
        <v>11000</v>
      </c>
      <c r="P9" s="2">
        <v>8184</v>
      </c>
      <c r="Q9" t="s">
        <v>39</v>
      </c>
      <c r="R9" t="s">
        <v>23</v>
      </c>
      <c r="S9" t="s">
        <v>29</v>
      </c>
      <c r="T9" t="s">
        <v>8</v>
      </c>
    </row>
    <row r="10" spans="1:20" x14ac:dyDescent="0.25">
      <c r="A10" s="74"/>
      <c r="B10" s="74"/>
      <c r="C10" s="71"/>
      <c r="D10" s="74"/>
      <c r="E10" s="74"/>
      <c r="F10" t="s">
        <v>28</v>
      </c>
      <c r="G10" s="1">
        <v>45231</v>
      </c>
      <c r="H10" t="s">
        <v>235</v>
      </c>
      <c r="I10" t="s">
        <v>82</v>
      </c>
      <c r="J10" t="s">
        <v>20</v>
      </c>
      <c r="K10" t="s">
        <v>21</v>
      </c>
      <c r="L10" t="s">
        <v>3</v>
      </c>
      <c r="M10" t="s">
        <v>4</v>
      </c>
      <c r="N10" s="2">
        <v>6000</v>
      </c>
      <c r="O10" s="2">
        <v>6000</v>
      </c>
      <c r="P10" s="2">
        <v>4983</v>
      </c>
      <c r="Q10" t="s">
        <v>39</v>
      </c>
      <c r="R10" t="s">
        <v>23</v>
      </c>
      <c r="S10" t="s">
        <v>29</v>
      </c>
      <c r="T10" t="s">
        <v>8</v>
      </c>
    </row>
    <row r="11" spans="1:20" x14ac:dyDescent="0.25">
      <c r="A11" s="74"/>
      <c r="B11" s="74"/>
      <c r="C11" s="71"/>
      <c r="D11" s="74"/>
      <c r="E11" s="74"/>
      <c r="F11" t="s">
        <v>28</v>
      </c>
      <c r="G11" s="1">
        <v>45231</v>
      </c>
      <c r="H11" t="s">
        <v>235</v>
      </c>
      <c r="I11" t="s">
        <v>38</v>
      </c>
      <c r="J11" t="s">
        <v>1</v>
      </c>
      <c r="K11" t="s">
        <v>2</v>
      </c>
      <c r="L11" t="s">
        <v>3</v>
      </c>
      <c r="M11" t="s">
        <v>4</v>
      </c>
      <c r="N11" s="2">
        <v>16000</v>
      </c>
      <c r="O11" s="2">
        <v>16000</v>
      </c>
      <c r="P11" s="2">
        <v>13336</v>
      </c>
      <c r="Q11" t="s">
        <v>39</v>
      </c>
      <c r="R11" t="s">
        <v>23</v>
      </c>
      <c r="S11" t="s">
        <v>29</v>
      </c>
      <c r="T11" t="s">
        <v>8</v>
      </c>
    </row>
    <row r="12" spans="1:20" x14ac:dyDescent="0.25">
      <c r="A12" s="74">
        <f t="shared" ref="A12" si="7">P12+P13</f>
        <v>24835.45</v>
      </c>
      <c r="B12" s="74" t="str">
        <f>'Весы 01.11.2023'!I49</f>
        <v>24780</v>
      </c>
      <c r="C12" s="70" t="str">
        <f>'Весы 01.11.2023'!K49</f>
        <v>-55</v>
      </c>
      <c r="D12" s="74">
        <f t="shared" ref="D12" si="8">B12-C12</f>
        <v>24835</v>
      </c>
      <c r="E12" s="74">
        <f t="shared" ref="E12" si="9">A12-D12</f>
        <v>0.4500000000007276</v>
      </c>
      <c r="F12" t="s">
        <v>107</v>
      </c>
      <c r="G12" s="1">
        <v>45231</v>
      </c>
      <c r="H12" t="s">
        <v>240</v>
      </c>
      <c r="I12" t="s">
        <v>25</v>
      </c>
      <c r="J12" t="s">
        <v>11</v>
      </c>
      <c r="K12" t="s">
        <v>12</v>
      </c>
      <c r="L12" t="s">
        <v>3</v>
      </c>
      <c r="M12" t="s">
        <v>4</v>
      </c>
      <c r="N12" s="2">
        <v>10100</v>
      </c>
      <c r="O12" s="2">
        <v>10100</v>
      </c>
      <c r="P12" s="2">
        <v>7519.45</v>
      </c>
      <c r="Q12" t="s">
        <v>39</v>
      </c>
      <c r="R12" t="s">
        <v>23</v>
      </c>
      <c r="S12" t="s">
        <v>108</v>
      </c>
      <c r="T12" t="s">
        <v>8</v>
      </c>
    </row>
    <row r="13" spans="1:20" x14ac:dyDescent="0.25">
      <c r="A13" s="74"/>
      <c r="B13" s="74"/>
      <c r="C13" s="71"/>
      <c r="D13" s="74"/>
      <c r="E13" s="74"/>
      <c r="F13" t="s">
        <v>107</v>
      </c>
      <c r="G13" s="1">
        <v>45231</v>
      </c>
      <c r="H13" t="s">
        <v>240</v>
      </c>
      <c r="I13" t="s">
        <v>67</v>
      </c>
      <c r="J13" t="s">
        <v>1</v>
      </c>
      <c r="K13" t="s">
        <v>2</v>
      </c>
      <c r="L13" t="s">
        <v>3</v>
      </c>
      <c r="M13" t="s">
        <v>4</v>
      </c>
      <c r="N13" s="2">
        <v>20800</v>
      </c>
      <c r="O13" s="2">
        <v>20782.173999999999</v>
      </c>
      <c r="P13" s="2">
        <v>17316</v>
      </c>
      <c r="Q13" t="s">
        <v>48</v>
      </c>
      <c r="R13" t="s">
        <v>23</v>
      </c>
      <c r="S13" t="s">
        <v>108</v>
      </c>
      <c r="T13" t="s">
        <v>8</v>
      </c>
    </row>
    <row r="14" spans="1:20" x14ac:dyDescent="0.25">
      <c r="A14" s="74">
        <f t="shared" ref="A14" si="10">P14+P15</f>
        <v>25595.758000000002</v>
      </c>
      <c r="B14" s="74" t="str">
        <f>'Весы 01.11.2023'!I54</f>
        <v>25570</v>
      </c>
      <c r="C14" s="70" t="str">
        <f>'Весы 01.11.2023'!K54</f>
        <v>-26</v>
      </c>
      <c r="D14" s="74">
        <f t="shared" ref="D14" si="11">B14-C14</f>
        <v>25596</v>
      </c>
      <c r="E14" s="74">
        <f t="shared" ref="E14" si="12">A14-D14</f>
        <v>-0.24199999999837019</v>
      </c>
      <c r="F14" t="s">
        <v>46</v>
      </c>
      <c r="G14" s="1">
        <v>45231</v>
      </c>
      <c r="H14" t="s">
        <v>182</v>
      </c>
      <c r="I14" t="s">
        <v>25</v>
      </c>
      <c r="J14" t="s">
        <v>11</v>
      </c>
      <c r="K14" t="s">
        <v>12</v>
      </c>
      <c r="L14" t="s">
        <v>3</v>
      </c>
      <c r="M14" t="s">
        <v>4</v>
      </c>
      <c r="N14" s="2">
        <v>12895</v>
      </c>
      <c r="O14" s="2">
        <v>12895</v>
      </c>
      <c r="P14" s="2">
        <v>9600.3279999999995</v>
      </c>
      <c r="Q14" t="s">
        <v>39</v>
      </c>
      <c r="R14" t="s">
        <v>23</v>
      </c>
      <c r="S14" t="s">
        <v>47</v>
      </c>
      <c r="T14" t="s">
        <v>8</v>
      </c>
    </row>
    <row r="15" spans="1:20" x14ac:dyDescent="0.25">
      <c r="A15" s="74"/>
      <c r="B15" s="74"/>
      <c r="C15" s="71"/>
      <c r="D15" s="74"/>
      <c r="E15" s="74"/>
      <c r="F15" t="s">
        <v>46</v>
      </c>
      <c r="G15" s="1">
        <v>45231</v>
      </c>
      <c r="H15" t="s">
        <v>182</v>
      </c>
      <c r="I15" t="s">
        <v>82</v>
      </c>
      <c r="J15" t="s">
        <v>1</v>
      </c>
      <c r="K15" t="s">
        <v>2</v>
      </c>
      <c r="L15" t="s">
        <v>3</v>
      </c>
      <c r="M15" t="s">
        <v>4</v>
      </c>
      <c r="N15" s="2">
        <v>19260</v>
      </c>
      <c r="O15" s="2">
        <v>19260</v>
      </c>
      <c r="P15" s="2">
        <v>15995.43</v>
      </c>
      <c r="Q15" t="s">
        <v>39</v>
      </c>
      <c r="R15" t="s">
        <v>23</v>
      </c>
      <c r="S15" t="s">
        <v>47</v>
      </c>
      <c r="T15" t="s">
        <v>8</v>
      </c>
    </row>
    <row r="16" spans="1:20" x14ac:dyDescent="0.25">
      <c r="A16" s="74">
        <f t="shared" ref="A16" si="13">P16+P17</f>
        <v>24381.381000000001</v>
      </c>
      <c r="B16" s="74" t="str">
        <f>'Весы 01.11.2023'!I59</f>
        <v>24340</v>
      </c>
      <c r="C16" s="70" t="str">
        <f>'Весы 01.11.2023'!K59</f>
        <v>-41</v>
      </c>
      <c r="D16" s="74">
        <f t="shared" ref="D16" si="14">B16-C16</f>
        <v>24381</v>
      </c>
      <c r="E16" s="74">
        <f t="shared" ref="E16" si="15">A16-D16</f>
        <v>0.38100000000122236</v>
      </c>
      <c r="F16" t="s">
        <v>60</v>
      </c>
      <c r="G16" s="1">
        <v>45231</v>
      </c>
      <c r="H16" t="s">
        <v>76</v>
      </c>
      <c r="I16" t="s">
        <v>72</v>
      </c>
      <c r="J16" t="s">
        <v>11</v>
      </c>
      <c r="K16" t="s">
        <v>12</v>
      </c>
      <c r="L16" t="s">
        <v>3</v>
      </c>
      <c r="M16" t="s">
        <v>4</v>
      </c>
      <c r="N16" s="2">
        <v>18585</v>
      </c>
      <c r="O16" s="2">
        <v>18562.474999999999</v>
      </c>
      <c r="P16" s="2">
        <v>13845.82</v>
      </c>
      <c r="Q16" t="s">
        <v>48</v>
      </c>
      <c r="R16" t="s">
        <v>23</v>
      </c>
      <c r="S16" t="s">
        <v>61</v>
      </c>
      <c r="T16" t="s">
        <v>8</v>
      </c>
    </row>
    <row r="17" spans="1:20" x14ac:dyDescent="0.25">
      <c r="A17" s="74"/>
      <c r="B17" s="74"/>
      <c r="C17" s="71"/>
      <c r="D17" s="74"/>
      <c r="E17" s="74"/>
      <c r="F17" t="s">
        <v>60</v>
      </c>
      <c r="G17" s="1">
        <v>45231</v>
      </c>
      <c r="H17" t="s">
        <v>76</v>
      </c>
      <c r="I17" t="s">
        <v>56</v>
      </c>
      <c r="J17" t="s">
        <v>20</v>
      </c>
      <c r="K17" t="s">
        <v>21</v>
      </c>
      <c r="L17" t="s">
        <v>3</v>
      </c>
      <c r="M17" t="s">
        <v>4</v>
      </c>
      <c r="N17" s="2">
        <v>12625</v>
      </c>
      <c r="O17" s="2">
        <v>12614.231</v>
      </c>
      <c r="P17" s="2">
        <v>10535.561</v>
      </c>
      <c r="Q17" t="s">
        <v>48</v>
      </c>
      <c r="R17" t="s">
        <v>23</v>
      </c>
      <c r="S17" t="s">
        <v>61</v>
      </c>
      <c r="T17" t="s">
        <v>8</v>
      </c>
    </row>
    <row r="18" spans="1:20" x14ac:dyDescent="0.25">
      <c r="A18" s="74">
        <f>P18+P19+P20+P21</f>
        <v>26030.263999999999</v>
      </c>
      <c r="B18" s="74" t="str">
        <f>'Весы 01.11.2023'!I66</f>
        <v>25990</v>
      </c>
      <c r="C18" s="70" t="str">
        <f>'Весы 01.11.2023'!K66</f>
        <v>-40</v>
      </c>
      <c r="D18" s="74">
        <f>B18-C18</f>
        <v>26030</v>
      </c>
      <c r="E18" s="74">
        <f>A18-D18</f>
        <v>0.2639999999992142</v>
      </c>
      <c r="F18" t="s">
        <v>146</v>
      </c>
      <c r="G18" s="1">
        <v>45231</v>
      </c>
      <c r="H18" t="s">
        <v>180</v>
      </c>
      <c r="I18" t="s">
        <v>54</v>
      </c>
      <c r="J18" t="s">
        <v>16</v>
      </c>
      <c r="K18" t="s">
        <v>17</v>
      </c>
      <c r="L18" t="s">
        <v>3</v>
      </c>
      <c r="M18" t="s">
        <v>4</v>
      </c>
      <c r="N18" s="2">
        <v>4700</v>
      </c>
      <c r="O18" s="2">
        <v>4700</v>
      </c>
      <c r="P18" s="2">
        <v>3508.55</v>
      </c>
      <c r="Q18" t="s">
        <v>39</v>
      </c>
      <c r="R18" t="s">
        <v>23</v>
      </c>
      <c r="S18" t="s">
        <v>147</v>
      </c>
      <c r="T18" t="s">
        <v>8</v>
      </c>
    </row>
    <row r="19" spans="1:20" x14ac:dyDescent="0.25">
      <c r="A19" s="74"/>
      <c r="B19" s="74"/>
      <c r="C19" s="71"/>
      <c r="D19" s="74"/>
      <c r="E19" s="74"/>
      <c r="F19" t="s">
        <v>146</v>
      </c>
      <c r="G19" s="1">
        <v>45231</v>
      </c>
      <c r="H19" t="s">
        <v>180</v>
      </c>
      <c r="I19" t="s">
        <v>72</v>
      </c>
      <c r="J19" t="s">
        <v>11</v>
      </c>
      <c r="K19" t="s">
        <v>12</v>
      </c>
      <c r="L19" t="s">
        <v>3</v>
      </c>
      <c r="M19" t="s">
        <v>4</v>
      </c>
      <c r="N19" s="2">
        <v>9850</v>
      </c>
      <c r="O19" s="2">
        <v>9838.0619999999999</v>
      </c>
      <c r="P19" s="2">
        <v>7338.2470000000003</v>
      </c>
      <c r="Q19" t="s">
        <v>48</v>
      </c>
      <c r="R19" t="s">
        <v>23</v>
      </c>
      <c r="S19" t="s">
        <v>147</v>
      </c>
      <c r="T19" t="s">
        <v>8</v>
      </c>
    </row>
    <row r="20" spans="1:20" x14ac:dyDescent="0.25">
      <c r="A20" s="74"/>
      <c r="B20" s="74"/>
      <c r="C20" s="71"/>
      <c r="D20" s="74"/>
      <c r="E20" s="74"/>
      <c r="F20" t="s">
        <v>146</v>
      </c>
      <c r="G20" s="1">
        <v>45231</v>
      </c>
      <c r="H20" t="s">
        <v>180</v>
      </c>
      <c r="I20" t="s">
        <v>35</v>
      </c>
      <c r="J20" t="s">
        <v>20</v>
      </c>
      <c r="K20" t="s">
        <v>21</v>
      </c>
      <c r="L20" t="s">
        <v>3</v>
      </c>
      <c r="M20" t="s">
        <v>4</v>
      </c>
      <c r="N20" s="2">
        <v>6020</v>
      </c>
      <c r="O20" s="2">
        <v>6014.8710000000001</v>
      </c>
      <c r="P20" s="2">
        <v>5026.6989999999996</v>
      </c>
      <c r="Q20" t="s">
        <v>48</v>
      </c>
      <c r="R20" t="s">
        <v>23</v>
      </c>
      <c r="S20" t="s">
        <v>147</v>
      </c>
      <c r="T20" t="s">
        <v>8</v>
      </c>
    </row>
    <row r="21" spans="1:20" x14ac:dyDescent="0.25">
      <c r="A21" s="74"/>
      <c r="B21" s="74"/>
      <c r="C21" s="71"/>
      <c r="D21" s="74"/>
      <c r="E21" s="74"/>
      <c r="F21" t="s">
        <v>146</v>
      </c>
      <c r="G21" s="1">
        <v>45231</v>
      </c>
      <c r="H21" t="s">
        <v>180</v>
      </c>
      <c r="I21" t="s">
        <v>69</v>
      </c>
      <c r="J21" t="s">
        <v>1</v>
      </c>
      <c r="K21" t="s">
        <v>2</v>
      </c>
      <c r="L21" t="s">
        <v>3</v>
      </c>
      <c r="M21" t="s">
        <v>4</v>
      </c>
      <c r="N21" s="2">
        <v>12215</v>
      </c>
      <c r="O21" s="2">
        <v>12194.039000000001</v>
      </c>
      <c r="P21" s="2">
        <v>10156.768</v>
      </c>
      <c r="Q21" t="s">
        <v>33</v>
      </c>
      <c r="R21" t="s">
        <v>23</v>
      </c>
      <c r="S21" t="s">
        <v>147</v>
      </c>
      <c r="T21" t="s">
        <v>8</v>
      </c>
    </row>
    <row r="22" spans="1:20" x14ac:dyDescent="0.25">
      <c r="A22" s="74">
        <f t="shared" ref="A22" si="16">P22+P23+P24</f>
        <v>26056.662</v>
      </c>
      <c r="B22" s="74" t="str">
        <f>'Весы 01.11.2023'!I56</f>
        <v>26030</v>
      </c>
      <c r="C22" s="70" t="str">
        <f>'Весы 01.11.2023'!K56</f>
        <v>-27</v>
      </c>
      <c r="D22" s="74">
        <f t="shared" ref="D22" si="17">B22-C22</f>
        <v>26057</v>
      </c>
      <c r="E22" s="74">
        <f t="shared" ref="E22" si="18">A22-D22</f>
        <v>-0.33799999999973807</v>
      </c>
      <c r="F22" t="s">
        <v>65</v>
      </c>
      <c r="G22" s="1">
        <v>45231</v>
      </c>
      <c r="H22" t="s">
        <v>210</v>
      </c>
      <c r="I22" t="s">
        <v>25</v>
      </c>
      <c r="J22" t="s">
        <v>11</v>
      </c>
      <c r="K22" t="s">
        <v>12</v>
      </c>
      <c r="L22" t="s">
        <v>3</v>
      </c>
      <c r="M22" t="s">
        <v>4</v>
      </c>
      <c r="N22" s="2">
        <v>6980</v>
      </c>
      <c r="O22" s="2">
        <v>6971.5330000000004</v>
      </c>
      <c r="P22" s="2">
        <v>5196.6090000000004</v>
      </c>
      <c r="Q22" t="s">
        <v>48</v>
      </c>
      <c r="R22" t="s">
        <v>6</v>
      </c>
      <c r="S22" t="s">
        <v>66</v>
      </c>
      <c r="T22" t="s">
        <v>8</v>
      </c>
    </row>
    <row r="23" spans="1:20" x14ac:dyDescent="0.25">
      <c r="A23" s="74"/>
      <c r="B23" s="74"/>
      <c r="C23" s="71"/>
      <c r="D23" s="74"/>
      <c r="E23" s="74"/>
      <c r="F23" t="s">
        <v>65</v>
      </c>
      <c r="G23" s="1">
        <v>45231</v>
      </c>
      <c r="H23" t="s">
        <v>210</v>
      </c>
      <c r="I23" t="s">
        <v>50</v>
      </c>
      <c r="J23" t="s">
        <v>20</v>
      </c>
      <c r="K23" t="s">
        <v>21</v>
      </c>
      <c r="L23" t="s">
        <v>3</v>
      </c>
      <c r="M23" t="s">
        <v>4</v>
      </c>
      <c r="N23" s="2">
        <v>6705</v>
      </c>
      <c r="O23" s="2">
        <v>6699.2939999999999</v>
      </c>
      <c r="P23" s="2">
        <v>5602.027</v>
      </c>
      <c r="Q23" t="s">
        <v>48</v>
      </c>
      <c r="R23" t="s">
        <v>6</v>
      </c>
      <c r="S23" t="s">
        <v>66</v>
      </c>
      <c r="T23" t="s">
        <v>8</v>
      </c>
    </row>
    <row r="24" spans="1:20" x14ac:dyDescent="0.25">
      <c r="A24" s="74"/>
      <c r="B24" s="74"/>
      <c r="C24" s="71"/>
      <c r="D24" s="74"/>
      <c r="E24" s="74"/>
      <c r="F24" t="s">
        <v>65</v>
      </c>
      <c r="G24" s="1">
        <v>45231</v>
      </c>
      <c r="H24" t="s">
        <v>210</v>
      </c>
      <c r="I24" t="s">
        <v>69</v>
      </c>
      <c r="J24" t="s">
        <v>1</v>
      </c>
      <c r="K24" t="s">
        <v>2</v>
      </c>
      <c r="L24" t="s">
        <v>3</v>
      </c>
      <c r="M24" t="s">
        <v>4</v>
      </c>
      <c r="N24" s="2">
        <v>18350</v>
      </c>
      <c r="O24" s="2">
        <v>18334.237000000001</v>
      </c>
      <c r="P24" s="2">
        <v>15258.026</v>
      </c>
      <c r="Q24" t="s">
        <v>48</v>
      </c>
      <c r="R24" t="s">
        <v>6</v>
      </c>
      <c r="S24" t="s">
        <v>66</v>
      </c>
      <c r="T24" t="s">
        <v>8</v>
      </c>
    </row>
    <row r="25" spans="1:20" x14ac:dyDescent="0.25">
      <c r="A25" s="74">
        <f t="shared" ref="A25" si="19">P25+P26+P27</f>
        <v>25016.652000000002</v>
      </c>
      <c r="B25" s="74" t="str">
        <f>'Весы 01.11.2023'!I52</f>
        <v>24980</v>
      </c>
      <c r="C25" s="70" t="str">
        <f>'Весы 01.11.2023'!K52</f>
        <v>-37</v>
      </c>
      <c r="D25" s="74">
        <f t="shared" ref="D25" si="20">B25-C25</f>
        <v>25017</v>
      </c>
      <c r="E25" s="74">
        <f t="shared" ref="E25" si="21">A25-D25</f>
        <v>-0.34799999999813735</v>
      </c>
      <c r="F25" t="s">
        <v>44</v>
      </c>
      <c r="G25" s="1">
        <v>45231</v>
      </c>
      <c r="H25" t="s">
        <v>204</v>
      </c>
      <c r="I25" t="s">
        <v>31</v>
      </c>
      <c r="J25" t="s">
        <v>1</v>
      </c>
      <c r="K25" t="s">
        <v>2</v>
      </c>
      <c r="L25" t="s">
        <v>3</v>
      </c>
      <c r="M25" t="s">
        <v>4</v>
      </c>
      <c r="N25" s="2">
        <v>16700</v>
      </c>
      <c r="O25" s="2">
        <v>16685.637999999999</v>
      </c>
      <c r="P25" s="2">
        <v>13877.700999999999</v>
      </c>
      <c r="Q25" t="s">
        <v>48</v>
      </c>
      <c r="R25" t="s">
        <v>6</v>
      </c>
      <c r="S25" t="s">
        <v>45</v>
      </c>
      <c r="T25" t="s">
        <v>8</v>
      </c>
    </row>
    <row r="26" spans="1:20" x14ac:dyDescent="0.25">
      <c r="A26" s="74"/>
      <c r="B26" s="74"/>
      <c r="C26" s="71"/>
      <c r="D26" s="74"/>
      <c r="E26" s="74"/>
      <c r="F26" t="s">
        <v>44</v>
      </c>
      <c r="G26" s="1">
        <v>45231</v>
      </c>
      <c r="H26" t="s">
        <v>204</v>
      </c>
      <c r="I26" t="s">
        <v>114</v>
      </c>
      <c r="J26" t="s">
        <v>11</v>
      </c>
      <c r="K26" t="s">
        <v>12</v>
      </c>
      <c r="L26" t="s">
        <v>3</v>
      </c>
      <c r="M26" t="s">
        <v>4</v>
      </c>
      <c r="N26" s="2">
        <v>9700</v>
      </c>
      <c r="O26" s="2">
        <v>9688.2240000000002</v>
      </c>
      <c r="P26" s="2">
        <v>7216.8010000000004</v>
      </c>
      <c r="Q26" t="s">
        <v>48</v>
      </c>
      <c r="R26" t="s">
        <v>6</v>
      </c>
      <c r="S26" t="s">
        <v>45</v>
      </c>
      <c r="T26" t="s">
        <v>8</v>
      </c>
    </row>
    <row r="27" spans="1:20" x14ac:dyDescent="0.25">
      <c r="A27" s="74"/>
      <c r="B27" s="74"/>
      <c r="C27" s="71"/>
      <c r="D27" s="74"/>
      <c r="E27" s="74"/>
      <c r="F27" t="s">
        <v>44</v>
      </c>
      <c r="G27" s="1">
        <v>45231</v>
      </c>
      <c r="H27" t="s">
        <v>204</v>
      </c>
      <c r="I27" t="s">
        <v>56</v>
      </c>
      <c r="J27" t="s">
        <v>20</v>
      </c>
      <c r="K27" t="s">
        <v>21</v>
      </c>
      <c r="L27" t="s">
        <v>3</v>
      </c>
      <c r="M27" t="s">
        <v>4</v>
      </c>
      <c r="N27" s="2">
        <v>4700</v>
      </c>
      <c r="O27" s="2">
        <v>4695.991</v>
      </c>
      <c r="P27" s="2">
        <v>3922.15</v>
      </c>
      <c r="Q27" t="s">
        <v>48</v>
      </c>
      <c r="R27" t="s">
        <v>6</v>
      </c>
      <c r="S27" t="s">
        <v>45</v>
      </c>
      <c r="T27" t="s">
        <v>8</v>
      </c>
    </row>
    <row r="28" spans="1:20" x14ac:dyDescent="0.25">
      <c r="A28" s="74">
        <f t="shared" ref="A28" si="22">P28+P29+P30</f>
        <v>25208.343000000001</v>
      </c>
      <c r="B28" s="74" t="str">
        <f>'Весы 01.11.2023'!I53</f>
        <v>25160</v>
      </c>
      <c r="C28" s="70" t="str">
        <f>'Весы 01.11.2023'!K53</f>
        <v>-48</v>
      </c>
      <c r="D28" s="74">
        <f t="shared" ref="D28" si="23">B28-C28</f>
        <v>25208</v>
      </c>
      <c r="E28" s="74">
        <f t="shared" ref="E28" si="24">A28-D28</f>
        <v>0.3430000000007567</v>
      </c>
      <c r="F28" t="s">
        <v>13</v>
      </c>
      <c r="G28" s="1">
        <v>45231</v>
      </c>
      <c r="H28" t="s">
        <v>258</v>
      </c>
      <c r="I28" t="s">
        <v>42</v>
      </c>
      <c r="J28" t="s">
        <v>16</v>
      </c>
      <c r="K28" t="s">
        <v>17</v>
      </c>
      <c r="L28" t="s">
        <v>3</v>
      </c>
      <c r="M28" t="s">
        <v>4</v>
      </c>
      <c r="N28" s="2">
        <v>4380</v>
      </c>
      <c r="O28" s="2">
        <v>4395.8860000000004</v>
      </c>
      <c r="P28" s="2">
        <v>3280.6210000000001</v>
      </c>
      <c r="Q28" t="s">
        <v>51</v>
      </c>
      <c r="R28" t="s">
        <v>6</v>
      </c>
      <c r="S28" t="s">
        <v>14</v>
      </c>
      <c r="T28" t="s">
        <v>8</v>
      </c>
    </row>
    <row r="29" spans="1:20" x14ac:dyDescent="0.25">
      <c r="A29" s="74"/>
      <c r="B29" s="74"/>
      <c r="C29" s="71"/>
      <c r="D29" s="74"/>
      <c r="E29" s="74"/>
      <c r="F29" t="s">
        <v>13</v>
      </c>
      <c r="G29" s="1">
        <v>45231</v>
      </c>
      <c r="H29" t="s">
        <v>258</v>
      </c>
      <c r="I29" t="s">
        <v>114</v>
      </c>
      <c r="J29" t="s">
        <v>11</v>
      </c>
      <c r="K29" t="s">
        <v>12</v>
      </c>
      <c r="L29" t="s">
        <v>3</v>
      </c>
      <c r="M29" t="s">
        <v>4</v>
      </c>
      <c r="N29" s="2">
        <v>13925</v>
      </c>
      <c r="O29" s="2">
        <v>13908.094999999999</v>
      </c>
      <c r="P29" s="2">
        <v>10360.200999999999</v>
      </c>
      <c r="Q29" t="s">
        <v>48</v>
      </c>
      <c r="R29" t="s">
        <v>6</v>
      </c>
      <c r="S29" t="s">
        <v>14</v>
      </c>
      <c r="T29" t="s">
        <v>8</v>
      </c>
    </row>
    <row r="30" spans="1:20" x14ac:dyDescent="0.25">
      <c r="A30" s="74"/>
      <c r="B30" s="74"/>
      <c r="C30" s="71"/>
      <c r="D30" s="74"/>
      <c r="E30" s="74"/>
      <c r="F30" t="s">
        <v>13</v>
      </c>
      <c r="G30" s="1">
        <v>45231</v>
      </c>
      <c r="H30" t="s">
        <v>258</v>
      </c>
      <c r="I30" t="s">
        <v>31</v>
      </c>
      <c r="J30" t="s">
        <v>1</v>
      </c>
      <c r="K30" t="s">
        <v>2</v>
      </c>
      <c r="L30" t="s">
        <v>3</v>
      </c>
      <c r="M30" t="s">
        <v>4</v>
      </c>
      <c r="N30" s="2">
        <v>13920</v>
      </c>
      <c r="O30" s="2">
        <v>13908.029</v>
      </c>
      <c r="P30" s="2">
        <v>11567.521000000001</v>
      </c>
      <c r="Q30" t="s">
        <v>48</v>
      </c>
      <c r="R30" t="s">
        <v>6</v>
      </c>
      <c r="S30" t="s">
        <v>14</v>
      </c>
      <c r="T30" t="s">
        <v>8</v>
      </c>
    </row>
    <row r="31" spans="1:20" x14ac:dyDescent="0.25">
      <c r="A31" s="74">
        <f>P31+P32+P33</f>
        <v>25001.678</v>
      </c>
      <c r="B31" s="74" t="str">
        <f>'Весы 01.11.2023'!I60</f>
        <v>24970</v>
      </c>
      <c r="C31" s="70" t="str">
        <f>'Весы 01.11.2023'!K60</f>
        <v>-32</v>
      </c>
      <c r="D31" s="74">
        <f t="shared" ref="D31" si="25">B31-C31</f>
        <v>25002</v>
      </c>
      <c r="E31" s="74">
        <f t="shared" ref="E31" si="26">A31-D31</f>
        <v>-0.32200000000011642</v>
      </c>
      <c r="F31" t="s">
        <v>131</v>
      </c>
      <c r="G31" s="1">
        <v>45231</v>
      </c>
      <c r="H31" t="s">
        <v>178</v>
      </c>
      <c r="I31" t="s">
        <v>25</v>
      </c>
      <c r="J31" t="s">
        <v>11</v>
      </c>
      <c r="K31" t="s">
        <v>12</v>
      </c>
      <c r="L31" t="s">
        <v>3</v>
      </c>
      <c r="M31" t="s">
        <v>4</v>
      </c>
      <c r="N31" s="2">
        <v>7670</v>
      </c>
      <c r="O31" s="2">
        <v>7660.6959999999999</v>
      </c>
      <c r="P31" s="2">
        <v>5710.3140000000003</v>
      </c>
      <c r="Q31" t="s">
        <v>48</v>
      </c>
      <c r="R31" t="s">
        <v>6</v>
      </c>
      <c r="S31" t="s">
        <v>132</v>
      </c>
      <c r="T31" t="s">
        <v>8</v>
      </c>
    </row>
    <row r="32" spans="1:20" x14ac:dyDescent="0.25">
      <c r="A32" s="74"/>
      <c r="B32" s="74"/>
      <c r="C32" s="71"/>
      <c r="D32" s="74"/>
      <c r="E32" s="74"/>
      <c r="F32" t="s">
        <v>131</v>
      </c>
      <c r="G32" s="1">
        <v>45231</v>
      </c>
      <c r="H32" t="s">
        <v>178</v>
      </c>
      <c r="I32" t="s">
        <v>35</v>
      </c>
      <c r="J32" t="s">
        <v>20</v>
      </c>
      <c r="K32" t="s">
        <v>21</v>
      </c>
      <c r="L32" t="s">
        <v>3</v>
      </c>
      <c r="M32" t="s">
        <v>4</v>
      </c>
      <c r="N32" s="2">
        <v>7695</v>
      </c>
      <c r="O32" s="2">
        <v>7688.4440000000004</v>
      </c>
      <c r="P32" s="2">
        <v>6425.3239999999996</v>
      </c>
      <c r="Q32" t="s">
        <v>48</v>
      </c>
      <c r="R32" t="s">
        <v>6</v>
      </c>
      <c r="S32" t="s">
        <v>132</v>
      </c>
      <c r="T32" t="s">
        <v>8</v>
      </c>
    </row>
    <row r="33" spans="1:20" x14ac:dyDescent="0.25">
      <c r="A33" s="74"/>
      <c r="B33" s="74"/>
      <c r="C33" s="71"/>
      <c r="D33" s="74"/>
      <c r="E33" s="74"/>
      <c r="F33" t="s">
        <v>131</v>
      </c>
      <c r="G33" s="1">
        <v>45231</v>
      </c>
      <c r="H33" t="s">
        <v>178</v>
      </c>
      <c r="I33" t="s">
        <v>68</v>
      </c>
      <c r="J33" t="s">
        <v>1</v>
      </c>
      <c r="K33" t="s">
        <v>2</v>
      </c>
      <c r="L33" t="s">
        <v>3</v>
      </c>
      <c r="M33" t="s">
        <v>4</v>
      </c>
      <c r="N33" s="2">
        <v>15390</v>
      </c>
      <c r="O33" s="2">
        <v>15390</v>
      </c>
      <c r="P33" s="2">
        <v>12866.04</v>
      </c>
      <c r="Q33" t="s">
        <v>39</v>
      </c>
      <c r="R33" t="s">
        <v>6</v>
      </c>
      <c r="S33" t="s">
        <v>132</v>
      </c>
      <c r="T33" t="s">
        <v>8</v>
      </c>
    </row>
    <row r="34" spans="1:20" x14ac:dyDescent="0.25">
      <c r="A34" s="74">
        <f>SUM(P34:P36)</f>
        <v>25570.620999999999</v>
      </c>
      <c r="B34" s="74" t="str">
        <f>'Весы 01.11.2023'!I62</f>
        <v>25540</v>
      </c>
      <c r="C34" s="74" t="str">
        <f>'Весы 01.11.2023'!K62</f>
        <v>-31</v>
      </c>
      <c r="D34" s="74">
        <f t="shared" ref="D34" si="27">B34-C34</f>
        <v>25571</v>
      </c>
      <c r="E34" s="74">
        <f t="shared" ref="E34" si="28">A34-D34</f>
        <v>-0.37900000000081491</v>
      </c>
      <c r="F34" t="s">
        <v>18</v>
      </c>
      <c r="G34" s="1">
        <v>45231</v>
      </c>
      <c r="H34" t="s">
        <v>232</v>
      </c>
      <c r="I34" t="s">
        <v>35</v>
      </c>
      <c r="J34" t="s">
        <v>20</v>
      </c>
      <c r="K34" t="s">
        <v>21</v>
      </c>
      <c r="L34" t="s">
        <v>3</v>
      </c>
      <c r="M34" t="s">
        <v>4</v>
      </c>
      <c r="N34" s="2">
        <v>7700</v>
      </c>
      <c r="O34" s="2">
        <v>7693.44</v>
      </c>
      <c r="P34" s="2">
        <v>6429.4989999999998</v>
      </c>
      <c r="Q34" t="s">
        <v>48</v>
      </c>
      <c r="R34" t="s">
        <v>6</v>
      </c>
      <c r="S34" t="s">
        <v>19</v>
      </c>
      <c r="T34" t="s">
        <v>8</v>
      </c>
    </row>
    <row r="35" spans="1:20" x14ac:dyDescent="0.25">
      <c r="A35" s="74"/>
      <c r="B35" s="74"/>
      <c r="C35" s="74"/>
      <c r="D35" s="74"/>
      <c r="E35" s="74"/>
      <c r="F35" t="s">
        <v>18</v>
      </c>
      <c r="G35" s="1">
        <v>45231</v>
      </c>
      <c r="H35" t="s">
        <v>232</v>
      </c>
      <c r="I35" t="s">
        <v>69</v>
      </c>
      <c r="J35" t="s">
        <v>1</v>
      </c>
      <c r="K35" t="s">
        <v>2</v>
      </c>
      <c r="L35" t="s">
        <v>3</v>
      </c>
      <c r="M35" t="s">
        <v>4</v>
      </c>
      <c r="N35" s="2">
        <v>15355</v>
      </c>
      <c r="O35" s="2">
        <v>15328.651</v>
      </c>
      <c r="P35" s="2">
        <v>12767.677</v>
      </c>
      <c r="Q35" t="s">
        <v>33</v>
      </c>
      <c r="R35" t="s">
        <v>6</v>
      </c>
      <c r="S35" t="s">
        <v>19</v>
      </c>
      <c r="T35" t="s">
        <v>8</v>
      </c>
    </row>
    <row r="36" spans="1:20" x14ac:dyDescent="0.25">
      <c r="A36" s="74"/>
      <c r="B36" s="74"/>
      <c r="C36" s="74"/>
      <c r="D36" s="74"/>
      <c r="E36" s="74"/>
      <c r="F36" t="s">
        <v>18</v>
      </c>
      <c r="G36" s="1">
        <v>45231</v>
      </c>
      <c r="H36" t="s">
        <v>230</v>
      </c>
      <c r="I36" t="s">
        <v>69</v>
      </c>
      <c r="J36" t="s">
        <v>1</v>
      </c>
      <c r="K36" t="s">
        <v>2</v>
      </c>
      <c r="L36" t="s">
        <v>3</v>
      </c>
      <c r="M36" t="s">
        <v>4</v>
      </c>
      <c r="N36" s="2">
        <v>7665</v>
      </c>
      <c r="O36" s="2">
        <v>7651.8469999999998</v>
      </c>
      <c r="P36" s="2">
        <v>6373.4449999999997</v>
      </c>
      <c r="Q36" t="s">
        <v>33</v>
      </c>
      <c r="R36" t="s">
        <v>6</v>
      </c>
      <c r="S36" t="s">
        <v>19</v>
      </c>
      <c r="T36" t="s">
        <v>8</v>
      </c>
    </row>
    <row r="37" spans="1:20" x14ac:dyDescent="0.25">
      <c r="A37" s="74">
        <f>P37+P38</f>
        <v>19417.965</v>
      </c>
      <c r="B37" s="74" t="str">
        <f>'Весы 01.11.2023'!I51</f>
        <v>19400</v>
      </c>
      <c r="C37" s="70" t="str">
        <f>'Весы 01.11.2023'!K51</f>
        <v>-18</v>
      </c>
      <c r="D37" s="74">
        <f t="shared" ref="D37" si="29">B37-C37</f>
        <v>19418</v>
      </c>
      <c r="E37" s="74">
        <f t="shared" ref="E37" si="30">A37-D37</f>
        <v>-3.4999999999854481E-2</v>
      </c>
      <c r="F37" t="s">
        <v>22</v>
      </c>
      <c r="G37" s="1">
        <v>45231</v>
      </c>
      <c r="H37" t="s">
        <v>257</v>
      </c>
      <c r="I37" t="s">
        <v>63</v>
      </c>
      <c r="J37" t="s">
        <v>1</v>
      </c>
      <c r="K37" t="s">
        <v>2</v>
      </c>
      <c r="L37" t="s">
        <v>3</v>
      </c>
      <c r="M37" t="s">
        <v>4</v>
      </c>
      <c r="N37" s="2">
        <v>16965</v>
      </c>
      <c r="O37" s="2">
        <v>16965</v>
      </c>
      <c r="P37" s="2">
        <v>14131.844999999999</v>
      </c>
      <c r="Q37" t="s">
        <v>39</v>
      </c>
      <c r="R37" t="s">
        <v>23</v>
      </c>
      <c r="S37" t="s">
        <v>24</v>
      </c>
      <c r="T37" t="s">
        <v>8</v>
      </c>
    </row>
    <row r="38" spans="1:20" x14ac:dyDescent="0.25">
      <c r="A38" s="74"/>
      <c r="B38" s="74"/>
      <c r="C38" s="71"/>
      <c r="D38" s="74"/>
      <c r="E38" s="74"/>
      <c r="F38" t="s">
        <v>22</v>
      </c>
      <c r="G38" s="1">
        <v>45231</v>
      </c>
      <c r="H38" t="s">
        <v>257</v>
      </c>
      <c r="I38" t="s">
        <v>114</v>
      </c>
      <c r="J38" t="s">
        <v>11</v>
      </c>
      <c r="K38" t="s">
        <v>12</v>
      </c>
      <c r="L38" t="s">
        <v>3</v>
      </c>
      <c r="M38" t="s">
        <v>4</v>
      </c>
      <c r="N38" s="2">
        <v>7105</v>
      </c>
      <c r="O38" s="2">
        <v>7105</v>
      </c>
      <c r="P38" s="2">
        <v>5286.12</v>
      </c>
      <c r="Q38" t="s">
        <v>39</v>
      </c>
      <c r="R38" t="s">
        <v>23</v>
      </c>
      <c r="S38" t="s">
        <v>24</v>
      </c>
      <c r="T38" t="s">
        <v>8</v>
      </c>
    </row>
    <row r="39" spans="1:20" x14ac:dyDescent="0.25">
      <c r="A39" s="74">
        <f>P39+P40+P41+P42</f>
        <v>26575.253000000001</v>
      </c>
      <c r="B39" s="74" t="str">
        <f>'Весы 01.11.2023'!I55</f>
        <v>26530</v>
      </c>
      <c r="C39" s="70" t="str">
        <f>'Весы 01.11.2023'!K55</f>
        <v>-45</v>
      </c>
      <c r="D39" s="74">
        <f>B39-C39</f>
        <v>26575</v>
      </c>
      <c r="E39" s="74">
        <f>A39-D39</f>
        <v>0.25300000000061118</v>
      </c>
      <c r="F39" t="s">
        <v>32</v>
      </c>
      <c r="G39" s="1">
        <v>45231</v>
      </c>
      <c r="H39" t="s">
        <v>241</v>
      </c>
      <c r="I39" t="s">
        <v>54</v>
      </c>
      <c r="J39" t="s">
        <v>16</v>
      </c>
      <c r="K39" t="s">
        <v>17</v>
      </c>
      <c r="L39" t="s">
        <v>3</v>
      </c>
      <c r="M39" t="s">
        <v>4</v>
      </c>
      <c r="N39" s="2">
        <v>5000</v>
      </c>
      <c r="O39" s="2">
        <v>5006.0600000000004</v>
      </c>
      <c r="P39" s="2">
        <v>3732.502</v>
      </c>
      <c r="Q39" t="s">
        <v>49</v>
      </c>
      <c r="R39" t="s">
        <v>23</v>
      </c>
      <c r="S39" t="s">
        <v>34</v>
      </c>
      <c r="T39" t="s">
        <v>8</v>
      </c>
    </row>
    <row r="40" spans="1:20" x14ac:dyDescent="0.25">
      <c r="A40" s="74"/>
      <c r="B40" s="74"/>
      <c r="C40" s="71"/>
      <c r="D40" s="74"/>
      <c r="E40" s="74"/>
      <c r="F40" t="s">
        <v>32</v>
      </c>
      <c r="G40" s="1">
        <v>45231</v>
      </c>
      <c r="H40" t="s">
        <v>241</v>
      </c>
      <c r="I40" t="s">
        <v>50</v>
      </c>
      <c r="J40" t="s">
        <v>20</v>
      </c>
      <c r="K40" t="s">
        <v>21</v>
      </c>
      <c r="L40" t="s">
        <v>3</v>
      </c>
      <c r="M40" t="s">
        <v>4</v>
      </c>
      <c r="N40" s="2">
        <v>6500</v>
      </c>
      <c r="O40" s="2">
        <v>6494.4679999999998</v>
      </c>
      <c r="P40" s="2">
        <v>5430.7489999999998</v>
      </c>
      <c r="Q40" t="s">
        <v>48</v>
      </c>
      <c r="R40" t="s">
        <v>23</v>
      </c>
      <c r="S40" t="s">
        <v>34</v>
      </c>
      <c r="T40" t="s">
        <v>8</v>
      </c>
    </row>
    <row r="41" spans="1:20" x14ac:dyDescent="0.25">
      <c r="A41" s="74"/>
      <c r="B41" s="74"/>
      <c r="C41" s="71"/>
      <c r="D41" s="74"/>
      <c r="E41" s="74"/>
      <c r="F41" t="s">
        <v>32</v>
      </c>
      <c r="G41" s="1">
        <v>45231</v>
      </c>
      <c r="H41" t="s">
        <v>241</v>
      </c>
      <c r="I41" t="s">
        <v>31</v>
      </c>
      <c r="J41" t="s">
        <v>1</v>
      </c>
      <c r="K41" t="s">
        <v>2</v>
      </c>
      <c r="L41" t="s">
        <v>3</v>
      </c>
      <c r="M41" t="s">
        <v>4</v>
      </c>
      <c r="N41" s="2">
        <v>12000</v>
      </c>
      <c r="O41" s="2">
        <v>11989.68</v>
      </c>
      <c r="P41" s="2">
        <v>9972.0010000000002</v>
      </c>
      <c r="Q41" t="s">
        <v>48</v>
      </c>
      <c r="R41" t="s">
        <v>23</v>
      </c>
      <c r="S41" t="s">
        <v>34</v>
      </c>
      <c r="T41" t="s">
        <v>8</v>
      </c>
    </row>
    <row r="42" spans="1:20" x14ac:dyDescent="0.25">
      <c r="A42" s="74"/>
      <c r="B42" s="74"/>
      <c r="C42" s="71"/>
      <c r="D42" s="74"/>
      <c r="E42" s="74"/>
      <c r="F42" t="s">
        <v>32</v>
      </c>
      <c r="G42" s="1">
        <v>45231</v>
      </c>
      <c r="H42" t="s">
        <v>241</v>
      </c>
      <c r="I42" t="s">
        <v>114</v>
      </c>
      <c r="J42" t="s">
        <v>11</v>
      </c>
      <c r="K42" t="s">
        <v>12</v>
      </c>
      <c r="L42" t="s">
        <v>3</v>
      </c>
      <c r="M42" t="s">
        <v>4</v>
      </c>
      <c r="N42" s="2">
        <v>10000</v>
      </c>
      <c r="O42" s="2">
        <v>9987.86</v>
      </c>
      <c r="P42" s="2">
        <v>7440.0010000000002</v>
      </c>
      <c r="Q42" t="s">
        <v>48</v>
      </c>
      <c r="R42" t="s">
        <v>23</v>
      </c>
      <c r="S42" t="s">
        <v>34</v>
      </c>
      <c r="T42" t="s">
        <v>8</v>
      </c>
    </row>
    <row r="43" spans="1:20" x14ac:dyDescent="0.25">
      <c r="A43" s="56">
        <f>P43</f>
        <v>26401</v>
      </c>
      <c r="B43" s="60" t="s">
        <v>1446</v>
      </c>
      <c r="C43" s="59"/>
      <c r="E43" s="59"/>
      <c r="F43" t="s">
        <v>222</v>
      </c>
      <c r="G43" s="1">
        <v>45231</v>
      </c>
      <c r="H43" t="s">
        <v>221</v>
      </c>
      <c r="I43" t="s">
        <v>94</v>
      </c>
      <c r="J43" t="s">
        <v>1</v>
      </c>
      <c r="K43" t="s">
        <v>2</v>
      </c>
      <c r="L43" t="s">
        <v>3</v>
      </c>
      <c r="M43" t="s">
        <v>4</v>
      </c>
      <c r="N43" s="2">
        <v>31430</v>
      </c>
      <c r="O43" s="2">
        <v>31456.558000000001</v>
      </c>
      <c r="P43" s="2">
        <v>26401</v>
      </c>
      <c r="Q43" t="s">
        <v>49</v>
      </c>
      <c r="R43" t="s">
        <v>23</v>
      </c>
      <c r="S43" t="s">
        <v>223</v>
      </c>
      <c r="T43" t="s">
        <v>8</v>
      </c>
    </row>
    <row r="44" spans="1:20" x14ac:dyDescent="0.25">
      <c r="A44" s="74">
        <f t="shared" ref="A44" si="31">P44+P45+P46</f>
        <v>25022.895</v>
      </c>
      <c r="B44" s="74" t="str">
        <f>'Весы 01.11.2023'!I72</f>
        <v>24990</v>
      </c>
      <c r="C44" s="70" t="str">
        <f>'Весы 01.11.2023'!K72</f>
        <v>-33</v>
      </c>
      <c r="D44" s="74">
        <f t="shared" ref="D44" si="32">B44-C44</f>
        <v>25023</v>
      </c>
      <c r="E44" s="74">
        <f t="shared" ref="E44" si="33">A44-D44</f>
        <v>-0.10499999999956344</v>
      </c>
      <c r="F44" t="s">
        <v>5</v>
      </c>
      <c r="G44" s="1">
        <v>45231</v>
      </c>
      <c r="H44" t="s">
        <v>213</v>
      </c>
      <c r="I44" t="s">
        <v>25</v>
      </c>
      <c r="J44" t="s">
        <v>16</v>
      </c>
      <c r="K44" t="s">
        <v>17</v>
      </c>
      <c r="L44" t="s">
        <v>3</v>
      </c>
      <c r="M44" t="s">
        <v>4</v>
      </c>
      <c r="N44" s="2">
        <v>7695</v>
      </c>
      <c r="O44" s="2">
        <v>7685.6660000000002</v>
      </c>
      <c r="P44" s="2">
        <v>5728.9269999999997</v>
      </c>
      <c r="Q44" t="s">
        <v>48</v>
      </c>
      <c r="R44" t="s">
        <v>6</v>
      </c>
      <c r="S44" t="s">
        <v>102</v>
      </c>
      <c r="T44" t="s">
        <v>8</v>
      </c>
    </row>
    <row r="45" spans="1:20" x14ac:dyDescent="0.25">
      <c r="A45" s="74"/>
      <c r="B45" s="74"/>
      <c r="C45" s="71"/>
      <c r="D45" s="74"/>
      <c r="E45" s="74"/>
      <c r="F45" t="s">
        <v>5</v>
      </c>
      <c r="G45" s="1">
        <v>45231</v>
      </c>
      <c r="H45" t="s">
        <v>213</v>
      </c>
      <c r="I45" t="s">
        <v>35</v>
      </c>
      <c r="J45" t="s">
        <v>20</v>
      </c>
      <c r="K45" t="s">
        <v>21</v>
      </c>
      <c r="L45" t="s">
        <v>3</v>
      </c>
      <c r="M45" t="s">
        <v>4</v>
      </c>
      <c r="N45" s="2">
        <v>7715</v>
      </c>
      <c r="O45" s="2">
        <v>7708.4269999999997</v>
      </c>
      <c r="P45" s="2">
        <v>6442.0240000000003</v>
      </c>
      <c r="Q45" t="s">
        <v>48</v>
      </c>
      <c r="R45" t="s">
        <v>6</v>
      </c>
      <c r="S45" t="s">
        <v>102</v>
      </c>
      <c r="T45" t="s">
        <v>8</v>
      </c>
    </row>
    <row r="46" spans="1:20" x14ac:dyDescent="0.25">
      <c r="A46" s="74"/>
      <c r="B46" s="74"/>
      <c r="C46" s="71"/>
      <c r="D46" s="74"/>
      <c r="E46" s="74"/>
      <c r="F46" t="s">
        <v>5</v>
      </c>
      <c r="G46" s="1">
        <v>45231</v>
      </c>
      <c r="H46" t="s">
        <v>213</v>
      </c>
      <c r="I46" t="s">
        <v>62</v>
      </c>
      <c r="J46" t="s">
        <v>1</v>
      </c>
      <c r="K46" t="s">
        <v>2</v>
      </c>
      <c r="L46" t="s">
        <v>3</v>
      </c>
      <c r="M46" t="s">
        <v>4</v>
      </c>
      <c r="N46" s="2">
        <v>15410</v>
      </c>
      <c r="O46" s="2">
        <v>15383.726000000001</v>
      </c>
      <c r="P46" s="2">
        <v>12851.944</v>
      </c>
      <c r="Q46" t="s">
        <v>33</v>
      </c>
      <c r="R46" t="s">
        <v>6</v>
      </c>
      <c r="S46" t="s">
        <v>102</v>
      </c>
      <c r="T46" t="s">
        <v>8</v>
      </c>
    </row>
    <row r="47" spans="1:20" x14ac:dyDescent="0.25">
      <c r="A47" s="74">
        <f t="shared" ref="A47" si="34">P47+P48+P49</f>
        <v>25063.107</v>
      </c>
      <c r="B47" s="74" t="str">
        <f>'Весы 01.11.2023'!I69</f>
        <v>25030</v>
      </c>
      <c r="C47" s="70" t="str">
        <f>'Весы 01.11.2023'!K69</f>
        <v>-33</v>
      </c>
      <c r="D47" s="74">
        <f t="shared" ref="D47" si="35">B47-C47</f>
        <v>25063</v>
      </c>
      <c r="E47" s="74">
        <f t="shared" ref="E47" si="36">A47-D47</f>
        <v>0.1069999999999709</v>
      </c>
      <c r="F47" t="s">
        <v>44</v>
      </c>
      <c r="G47" s="1">
        <v>45231</v>
      </c>
      <c r="H47" t="s">
        <v>247</v>
      </c>
      <c r="I47" t="s">
        <v>114</v>
      </c>
      <c r="J47" t="s">
        <v>11</v>
      </c>
      <c r="K47" t="s">
        <v>12</v>
      </c>
      <c r="L47" t="s">
        <v>3</v>
      </c>
      <c r="M47" t="s">
        <v>4</v>
      </c>
      <c r="N47" s="2">
        <v>9700</v>
      </c>
      <c r="O47" s="2">
        <v>9688.2240000000002</v>
      </c>
      <c r="P47" s="2">
        <v>7216.8010000000004</v>
      </c>
      <c r="Q47" t="s">
        <v>48</v>
      </c>
      <c r="R47" t="s">
        <v>6</v>
      </c>
      <c r="S47" t="s">
        <v>45</v>
      </c>
      <c r="T47" t="s">
        <v>8</v>
      </c>
    </row>
    <row r="48" spans="1:20" x14ac:dyDescent="0.25">
      <c r="A48" s="74"/>
      <c r="B48" s="74"/>
      <c r="C48" s="71"/>
      <c r="D48" s="74"/>
      <c r="E48" s="74"/>
      <c r="F48" t="s">
        <v>44</v>
      </c>
      <c r="G48" s="1">
        <v>45231</v>
      </c>
      <c r="H48" t="s">
        <v>247</v>
      </c>
      <c r="I48" t="s">
        <v>50</v>
      </c>
      <c r="J48" t="s">
        <v>20</v>
      </c>
      <c r="K48" t="s">
        <v>21</v>
      </c>
      <c r="L48" t="s">
        <v>3</v>
      </c>
      <c r="M48" t="s">
        <v>4</v>
      </c>
      <c r="N48" s="2">
        <v>4700</v>
      </c>
      <c r="O48" s="2">
        <v>4692.0150000000003</v>
      </c>
      <c r="P48" s="2">
        <v>3926.8510000000001</v>
      </c>
      <c r="Q48" t="s">
        <v>33</v>
      </c>
      <c r="R48" t="s">
        <v>6</v>
      </c>
      <c r="S48" t="s">
        <v>45</v>
      </c>
      <c r="T48" t="s">
        <v>8</v>
      </c>
    </row>
    <row r="49" spans="1:20" x14ac:dyDescent="0.25">
      <c r="A49" s="74"/>
      <c r="B49" s="74"/>
      <c r="C49" s="71"/>
      <c r="D49" s="74"/>
      <c r="E49" s="74"/>
      <c r="F49" t="s">
        <v>44</v>
      </c>
      <c r="G49" s="1">
        <v>45231</v>
      </c>
      <c r="H49" t="s">
        <v>247</v>
      </c>
      <c r="I49" t="s">
        <v>38</v>
      </c>
      <c r="J49" t="s">
        <v>1</v>
      </c>
      <c r="K49" t="s">
        <v>2</v>
      </c>
      <c r="L49" t="s">
        <v>3</v>
      </c>
      <c r="M49" t="s">
        <v>4</v>
      </c>
      <c r="N49" s="2">
        <v>16700</v>
      </c>
      <c r="O49" s="2">
        <v>16671.492999999999</v>
      </c>
      <c r="P49" s="2">
        <v>13919.455</v>
      </c>
      <c r="Q49" t="s">
        <v>33</v>
      </c>
      <c r="R49" t="s">
        <v>6</v>
      </c>
      <c r="S49" t="s">
        <v>45</v>
      </c>
      <c r="T49" t="s">
        <v>8</v>
      </c>
    </row>
    <row r="50" spans="1:20" x14ac:dyDescent="0.25">
      <c r="A50" s="74">
        <f t="shared" ref="A50" si="37">P50+P51+P52</f>
        <v>25877.675000000003</v>
      </c>
      <c r="B50" s="74" t="str">
        <f>'Весы 01.11.2023'!I71</f>
        <v>25860</v>
      </c>
      <c r="C50" s="70" t="str">
        <f>'Весы 01.11.2023'!K71</f>
        <v>-18</v>
      </c>
      <c r="D50" s="74">
        <f t="shared" ref="D50" si="38">B50-C50</f>
        <v>25878</v>
      </c>
      <c r="E50" s="74">
        <f t="shared" ref="E50" si="39">A50-D50</f>
        <v>-0.32499999999708962</v>
      </c>
      <c r="F50" t="s">
        <v>13</v>
      </c>
      <c r="G50" s="1">
        <v>45231</v>
      </c>
      <c r="H50" t="s">
        <v>157</v>
      </c>
      <c r="I50" t="s">
        <v>50</v>
      </c>
      <c r="J50" t="s">
        <v>20</v>
      </c>
      <c r="K50" t="s">
        <v>21</v>
      </c>
      <c r="L50" t="s">
        <v>3</v>
      </c>
      <c r="M50" t="s">
        <v>4</v>
      </c>
      <c r="N50" s="2">
        <v>6960</v>
      </c>
      <c r="O50" s="2">
        <v>6954.0770000000002</v>
      </c>
      <c r="P50" s="2">
        <v>5815.0789999999997</v>
      </c>
      <c r="Q50" t="s">
        <v>48</v>
      </c>
      <c r="R50" t="s">
        <v>6</v>
      </c>
      <c r="S50" t="s">
        <v>14</v>
      </c>
      <c r="T50" t="s">
        <v>8</v>
      </c>
    </row>
    <row r="51" spans="1:20" x14ac:dyDescent="0.25">
      <c r="A51" s="74"/>
      <c r="B51" s="74"/>
      <c r="C51" s="71"/>
      <c r="D51" s="74"/>
      <c r="E51" s="74"/>
      <c r="F51" t="s">
        <v>13</v>
      </c>
      <c r="G51" s="1">
        <v>45231</v>
      </c>
      <c r="H51" t="s">
        <v>157</v>
      </c>
      <c r="I51" t="s">
        <v>25</v>
      </c>
      <c r="J51" t="s">
        <v>11</v>
      </c>
      <c r="K51" t="s">
        <v>12</v>
      </c>
      <c r="L51" t="s">
        <v>3</v>
      </c>
      <c r="M51" t="s">
        <v>4</v>
      </c>
      <c r="N51" s="2">
        <v>11345</v>
      </c>
      <c r="O51" s="2">
        <v>11331.239</v>
      </c>
      <c r="P51" s="2">
        <v>8446.3520000000008</v>
      </c>
      <c r="Q51" t="s">
        <v>48</v>
      </c>
      <c r="R51" t="s">
        <v>6</v>
      </c>
      <c r="S51" t="s">
        <v>14</v>
      </c>
      <c r="T51" t="s">
        <v>8</v>
      </c>
    </row>
    <row r="52" spans="1:20" x14ac:dyDescent="0.25">
      <c r="A52" s="74"/>
      <c r="B52" s="74"/>
      <c r="C52" s="71"/>
      <c r="D52" s="74"/>
      <c r="E52" s="74"/>
      <c r="F52" t="s">
        <v>13</v>
      </c>
      <c r="G52" s="1">
        <v>45231</v>
      </c>
      <c r="H52" t="s">
        <v>157</v>
      </c>
      <c r="I52" t="s">
        <v>56</v>
      </c>
      <c r="J52" t="s">
        <v>1</v>
      </c>
      <c r="K52" t="s">
        <v>2</v>
      </c>
      <c r="L52" t="s">
        <v>3</v>
      </c>
      <c r="M52" t="s">
        <v>4</v>
      </c>
      <c r="N52" s="2">
        <v>13920</v>
      </c>
      <c r="O52" s="2">
        <v>13896.294</v>
      </c>
      <c r="P52" s="2">
        <v>11616.244000000001</v>
      </c>
      <c r="Q52" t="s">
        <v>33</v>
      </c>
      <c r="R52" t="s">
        <v>6</v>
      </c>
      <c r="S52" t="s">
        <v>14</v>
      </c>
      <c r="T52" t="s">
        <v>8</v>
      </c>
    </row>
    <row r="53" spans="1:20" x14ac:dyDescent="0.25">
      <c r="A53" s="74">
        <f>P53+P54</f>
        <v>19170.428</v>
      </c>
      <c r="B53" s="74" t="str">
        <f>'Весы 01.11.2023'!I67</f>
        <v>19140</v>
      </c>
      <c r="C53" s="70" t="str">
        <f>'Весы 01.11.2023'!K67</f>
        <v>-30</v>
      </c>
      <c r="D53" s="74">
        <f t="shared" ref="D53" si="40">B53-C53</f>
        <v>19170</v>
      </c>
      <c r="E53" s="74">
        <f>A53-D53</f>
        <v>0.42799999999988358</v>
      </c>
      <c r="F53" t="s">
        <v>22</v>
      </c>
      <c r="G53" s="1">
        <v>45231</v>
      </c>
      <c r="H53" t="s">
        <v>215</v>
      </c>
      <c r="I53" t="s">
        <v>62</v>
      </c>
      <c r="J53" t="s">
        <v>1</v>
      </c>
      <c r="K53" t="s">
        <v>2</v>
      </c>
      <c r="L53" t="s">
        <v>3</v>
      </c>
      <c r="M53" t="s">
        <v>4</v>
      </c>
      <c r="N53" s="2">
        <v>13970</v>
      </c>
      <c r="O53" s="2">
        <v>13958.07</v>
      </c>
      <c r="P53" s="2">
        <v>11650.978999999999</v>
      </c>
      <c r="Q53" t="s">
        <v>48</v>
      </c>
      <c r="R53" t="s">
        <v>23</v>
      </c>
      <c r="S53" t="s">
        <v>24</v>
      </c>
      <c r="T53" t="s">
        <v>8</v>
      </c>
    </row>
    <row r="54" spans="1:20" x14ac:dyDescent="0.25">
      <c r="A54" s="74"/>
      <c r="B54" s="74"/>
      <c r="C54" s="71"/>
      <c r="D54" s="74"/>
      <c r="E54" s="74"/>
      <c r="F54" t="s">
        <v>22</v>
      </c>
      <c r="G54" s="1">
        <v>45231</v>
      </c>
      <c r="H54" t="s">
        <v>215</v>
      </c>
      <c r="I54" t="s">
        <v>25</v>
      </c>
      <c r="J54" t="s">
        <v>11</v>
      </c>
      <c r="K54" t="s">
        <v>12</v>
      </c>
      <c r="L54" t="s">
        <v>3</v>
      </c>
      <c r="M54" t="s">
        <v>4</v>
      </c>
      <c r="N54" s="2">
        <v>10100</v>
      </c>
      <c r="O54" s="2">
        <v>10087.749</v>
      </c>
      <c r="P54" s="2">
        <v>7519.4489999999996</v>
      </c>
      <c r="Q54" t="s">
        <v>48</v>
      </c>
      <c r="R54" t="s">
        <v>23</v>
      </c>
      <c r="S54" t="s">
        <v>24</v>
      </c>
      <c r="T54" t="s">
        <v>8</v>
      </c>
    </row>
    <row r="55" spans="1:20" x14ac:dyDescent="0.25">
      <c r="A55" s="74">
        <f>P55+P56+P57+P58</f>
        <v>26078.499</v>
      </c>
      <c r="B55" s="74" t="str">
        <f>'Весы 01.11.2023'!I61</f>
        <v>26030</v>
      </c>
      <c r="C55" s="70" t="str">
        <f>'Весы 01.11.2023'!K61</f>
        <v>-49</v>
      </c>
      <c r="D55" s="74">
        <f>B55-C55</f>
        <v>26079</v>
      </c>
      <c r="E55" s="74">
        <f>A55-D55</f>
        <v>-0.50100000000020373</v>
      </c>
      <c r="F55" t="s">
        <v>28</v>
      </c>
      <c r="G55" s="1">
        <v>45231</v>
      </c>
      <c r="H55" t="s">
        <v>134</v>
      </c>
      <c r="I55" t="s">
        <v>25</v>
      </c>
      <c r="J55" t="s">
        <v>11</v>
      </c>
      <c r="K55" t="s">
        <v>12</v>
      </c>
      <c r="L55" t="s">
        <v>3</v>
      </c>
      <c r="M55" t="s">
        <v>4</v>
      </c>
      <c r="N55" s="2">
        <v>16000</v>
      </c>
      <c r="O55" s="2">
        <v>15980.592000000001</v>
      </c>
      <c r="P55" s="2">
        <v>11911.999</v>
      </c>
      <c r="Q55" t="s">
        <v>48</v>
      </c>
      <c r="R55" t="s">
        <v>23</v>
      </c>
      <c r="S55" t="s">
        <v>29</v>
      </c>
      <c r="T55" t="s">
        <v>8</v>
      </c>
    </row>
    <row r="56" spans="1:20" x14ac:dyDescent="0.25">
      <c r="A56" s="74"/>
      <c r="B56" s="74"/>
      <c r="C56" s="71"/>
      <c r="D56" s="74"/>
      <c r="E56" s="74"/>
      <c r="F56" t="s">
        <v>28</v>
      </c>
      <c r="G56" s="1">
        <v>45231</v>
      </c>
      <c r="H56" t="s">
        <v>134</v>
      </c>
      <c r="I56" t="s">
        <v>35</v>
      </c>
      <c r="J56" t="s">
        <v>20</v>
      </c>
      <c r="K56" t="s">
        <v>21</v>
      </c>
      <c r="L56" t="s">
        <v>3</v>
      </c>
      <c r="M56" t="s">
        <v>4</v>
      </c>
      <c r="N56" s="2">
        <v>2000</v>
      </c>
      <c r="O56" s="2">
        <v>1998.296</v>
      </c>
      <c r="P56" s="2">
        <v>1670</v>
      </c>
      <c r="Q56" t="s">
        <v>48</v>
      </c>
      <c r="R56" t="s">
        <v>23</v>
      </c>
      <c r="S56" t="s">
        <v>29</v>
      </c>
      <c r="T56" t="s">
        <v>8</v>
      </c>
    </row>
    <row r="57" spans="1:20" x14ac:dyDescent="0.25">
      <c r="A57" s="74"/>
      <c r="B57" s="74"/>
      <c r="C57" s="71"/>
      <c r="D57" s="74"/>
      <c r="E57" s="74"/>
      <c r="F57" t="s">
        <v>28</v>
      </c>
      <c r="G57" s="1">
        <v>45231</v>
      </c>
      <c r="H57" t="s">
        <v>134</v>
      </c>
      <c r="I57" t="s">
        <v>67</v>
      </c>
      <c r="J57" t="s">
        <v>1</v>
      </c>
      <c r="K57" t="s">
        <v>2</v>
      </c>
      <c r="L57" t="s">
        <v>3</v>
      </c>
      <c r="M57" t="s">
        <v>4</v>
      </c>
      <c r="N57" s="2">
        <v>12000</v>
      </c>
      <c r="O57" s="2">
        <v>12000</v>
      </c>
      <c r="P57" s="2">
        <v>9990</v>
      </c>
      <c r="Q57" t="s">
        <v>39</v>
      </c>
      <c r="R57" t="s">
        <v>23</v>
      </c>
      <c r="S57" t="s">
        <v>29</v>
      </c>
      <c r="T57" t="s">
        <v>8</v>
      </c>
    </row>
    <row r="58" spans="1:20" x14ac:dyDescent="0.25">
      <c r="A58" s="74"/>
      <c r="B58" s="74"/>
      <c r="C58" s="71"/>
      <c r="D58" s="74"/>
      <c r="E58" s="74"/>
      <c r="F58" t="s">
        <v>28</v>
      </c>
      <c r="G58" s="1">
        <v>45231</v>
      </c>
      <c r="H58" t="s">
        <v>134</v>
      </c>
      <c r="I58" t="s">
        <v>50</v>
      </c>
      <c r="J58" t="s">
        <v>124</v>
      </c>
      <c r="K58" t="s">
        <v>125</v>
      </c>
      <c r="L58" t="s">
        <v>3</v>
      </c>
      <c r="M58" t="s">
        <v>4</v>
      </c>
      <c r="N58" s="2">
        <v>3000</v>
      </c>
      <c r="O58" s="2">
        <v>3000</v>
      </c>
      <c r="P58" s="2">
        <v>2506.5</v>
      </c>
      <c r="Q58" t="s">
        <v>39</v>
      </c>
      <c r="R58" t="s">
        <v>23</v>
      </c>
      <c r="S58" t="s">
        <v>29</v>
      </c>
      <c r="T58" t="s">
        <v>8</v>
      </c>
    </row>
    <row r="59" spans="1:20" x14ac:dyDescent="0.25">
      <c r="A59" s="74">
        <f>P59+P60+P61</f>
        <v>24877.053</v>
      </c>
      <c r="B59" s="74" t="str">
        <f>'Весы 01.11.2023'!I68</f>
        <v>24840</v>
      </c>
      <c r="C59" s="70" t="str">
        <f>'Весы 01.11.2023'!K68</f>
        <v>-37</v>
      </c>
      <c r="D59" s="74">
        <f t="shared" ref="D59" si="41">B59-C59</f>
        <v>24877</v>
      </c>
      <c r="E59" s="74">
        <f t="shared" ref="E59" si="42">A59-D59</f>
        <v>5.2999999999883585E-2</v>
      </c>
      <c r="F59" t="s">
        <v>107</v>
      </c>
      <c r="G59" s="1">
        <v>45231</v>
      </c>
      <c r="H59" t="s">
        <v>201</v>
      </c>
      <c r="I59" t="s">
        <v>25</v>
      </c>
      <c r="J59" t="s">
        <v>11</v>
      </c>
      <c r="K59" t="s">
        <v>12</v>
      </c>
      <c r="L59" t="s">
        <v>3</v>
      </c>
      <c r="M59" t="s">
        <v>4</v>
      </c>
      <c r="N59" s="2">
        <v>10100</v>
      </c>
      <c r="O59" s="2">
        <v>10087.749</v>
      </c>
      <c r="P59" s="2">
        <v>7519.4489999999996</v>
      </c>
      <c r="Q59" t="s">
        <v>48</v>
      </c>
      <c r="R59" t="s">
        <v>23</v>
      </c>
      <c r="S59" t="s">
        <v>108</v>
      </c>
      <c r="T59" t="s">
        <v>8</v>
      </c>
    </row>
    <row r="60" spans="1:20" x14ac:dyDescent="0.25">
      <c r="A60" s="74"/>
      <c r="B60" s="74"/>
      <c r="C60" s="71"/>
      <c r="D60" s="74"/>
      <c r="E60" s="74"/>
      <c r="F60" t="s">
        <v>107</v>
      </c>
      <c r="G60" s="1">
        <v>45231</v>
      </c>
      <c r="H60" t="s">
        <v>201</v>
      </c>
      <c r="I60" t="s">
        <v>56</v>
      </c>
      <c r="J60" t="s">
        <v>20</v>
      </c>
      <c r="K60" t="s">
        <v>21</v>
      </c>
      <c r="L60" t="s">
        <v>3</v>
      </c>
      <c r="M60" t="s">
        <v>4</v>
      </c>
      <c r="N60" s="2">
        <v>5300</v>
      </c>
      <c r="O60" s="2">
        <v>5295.4790000000003</v>
      </c>
      <c r="P60" s="2">
        <v>4422.8500000000004</v>
      </c>
      <c r="Q60" t="s">
        <v>48</v>
      </c>
      <c r="R60" t="s">
        <v>23</v>
      </c>
      <c r="S60" t="s">
        <v>108</v>
      </c>
      <c r="T60" t="s">
        <v>8</v>
      </c>
    </row>
    <row r="61" spans="1:20" x14ac:dyDescent="0.25">
      <c r="A61" s="74"/>
      <c r="B61" s="74"/>
      <c r="C61" s="71"/>
      <c r="D61" s="74"/>
      <c r="E61" s="74"/>
      <c r="F61" t="s">
        <v>107</v>
      </c>
      <c r="G61" s="1">
        <v>45231</v>
      </c>
      <c r="H61" t="s">
        <v>201</v>
      </c>
      <c r="I61" t="s">
        <v>56</v>
      </c>
      <c r="J61" t="s">
        <v>1</v>
      </c>
      <c r="K61" t="s">
        <v>2</v>
      </c>
      <c r="L61" t="s">
        <v>3</v>
      </c>
      <c r="M61" t="s">
        <v>4</v>
      </c>
      <c r="N61" s="2">
        <v>15500</v>
      </c>
      <c r="O61" s="2">
        <v>15473.603999999999</v>
      </c>
      <c r="P61" s="2">
        <v>12934.754000000001</v>
      </c>
      <c r="Q61" t="s">
        <v>33</v>
      </c>
      <c r="R61" t="s">
        <v>23</v>
      </c>
      <c r="S61" t="s">
        <v>108</v>
      </c>
      <c r="T61" t="s">
        <v>8</v>
      </c>
    </row>
    <row r="62" spans="1:20" x14ac:dyDescent="0.25">
      <c r="A62" s="74">
        <f t="shared" ref="A62" si="43">P62+P63</f>
        <v>26830.17</v>
      </c>
      <c r="B62" s="74" t="str">
        <f>'Весы 01.11.2023'!I70</f>
        <v>26790</v>
      </c>
      <c r="C62" s="70" t="str">
        <f>'Весы 01.11.2023'!K70</f>
        <v>-40</v>
      </c>
      <c r="D62" s="74">
        <f t="shared" ref="D62" si="44">B62-C62</f>
        <v>26830</v>
      </c>
      <c r="E62" s="74">
        <f t="shared" ref="E62" si="45">A62-D62</f>
        <v>0.16999999999825377</v>
      </c>
      <c r="F62" t="s">
        <v>46</v>
      </c>
      <c r="G62" s="1">
        <v>45231</v>
      </c>
      <c r="H62" t="s">
        <v>159</v>
      </c>
      <c r="I62" t="s">
        <v>35</v>
      </c>
      <c r="J62" t="s">
        <v>20</v>
      </c>
      <c r="K62" t="s">
        <v>21</v>
      </c>
      <c r="L62" t="s">
        <v>3</v>
      </c>
      <c r="M62" t="s">
        <v>4</v>
      </c>
      <c r="N62" s="2">
        <v>12895</v>
      </c>
      <c r="O62" s="2">
        <v>12884.013000000001</v>
      </c>
      <c r="P62" s="2">
        <v>10767.324000000001</v>
      </c>
      <c r="Q62" t="s">
        <v>48</v>
      </c>
      <c r="R62" t="s">
        <v>23</v>
      </c>
      <c r="S62" t="s">
        <v>47</v>
      </c>
      <c r="T62" t="s">
        <v>8</v>
      </c>
    </row>
    <row r="63" spans="1:20" x14ac:dyDescent="0.25">
      <c r="A63" s="74"/>
      <c r="B63" s="74"/>
      <c r="C63" s="71"/>
      <c r="D63" s="74"/>
      <c r="E63" s="74"/>
      <c r="F63" t="s">
        <v>46</v>
      </c>
      <c r="G63" s="1">
        <v>45231</v>
      </c>
      <c r="H63" t="s">
        <v>159</v>
      </c>
      <c r="I63" t="s">
        <v>62</v>
      </c>
      <c r="J63" t="s">
        <v>1</v>
      </c>
      <c r="K63" t="s">
        <v>2</v>
      </c>
      <c r="L63" t="s">
        <v>3</v>
      </c>
      <c r="M63" t="s">
        <v>4</v>
      </c>
      <c r="N63" s="2">
        <v>19260</v>
      </c>
      <c r="O63" s="2">
        <v>19227.162</v>
      </c>
      <c r="P63" s="2">
        <v>16062.846</v>
      </c>
      <c r="Q63" t="s">
        <v>33</v>
      </c>
      <c r="R63" t="s">
        <v>23</v>
      </c>
      <c r="S63" t="s">
        <v>47</v>
      </c>
      <c r="T63" t="s">
        <v>8</v>
      </c>
    </row>
    <row r="64" spans="1:20" x14ac:dyDescent="0.25">
      <c r="A64" s="74">
        <f t="shared" ref="A64" si="46">P64+P65</f>
        <v>19463.934000000001</v>
      </c>
      <c r="B64" s="74" t="str">
        <f>'Весы 01.11.2023'!I74</f>
        <v>19460</v>
      </c>
      <c r="C64" s="70" t="str">
        <f>'Весы 01.11.2023'!K74</f>
        <v>-4</v>
      </c>
      <c r="D64" s="74">
        <f t="shared" ref="D64" si="47">B64-C64</f>
        <v>19464</v>
      </c>
      <c r="E64" s="74">
        <f t="shared" ref="E64" si="48">A64-D64</f>
        <v>-6.5999999998894054E-2</v>
      </c>
      <c r="F64" t="s">
        <v>22</v>
      </c>
      <c r="G64" s="1">
        <v>45231</v>
      </c>
      <c r="H64" t="s">
        <v>0</v>
      </c>
      <c r="I64" t="s">
        <v>25</v>
      </c>
      <c r="J64" t="s">
        <v>11</v>
      </c>
      <c r="K64" t="s">
        <v>12</v>
      </c>
      <c r="L64" t="s">
        <v>3</v>
      </c>
      <c r="M64" t="s">
        <v>4</v>
      </c>
      <c r="N64" s="2">
        <v>7105</v>
      </c>
      <c r="O64" s="2">
        <v>7087.7920000000004</v>
      </c>
      <c r="P64" s="2">
        <v>5289.674</v>
      </c>
      <c r="Q64" t="s">
        <v>33</v>
      </c>
      <c r="R64" t="s">
        <v>23</v>
      </c>
      <c r="S64" t="s">
        <v>24</v>
      </c>
      <c r="T64" t="s">
        <v>8</v>
      </c>
    </row>
    <row r="65" spans="1:20" x14ac:dyDescent="0.25">
      <c r="A65" s="74"/>
      <c r="B65" s="74"/>
      <c r="C65" s="71"/>
      <c r="D65" s="74"/>
      <c r="E65" s="74"/>
      <c r="F65" t="s">
        <v>22</v>
      </c>
      <c r="G65" s="1">
        <v>45231</v>
      </c>
      <c r="H65" t="s">
        <v>0</v>
      </c>
      <c r="I65" t="s">
        <v>50</v>
      </c>
      <c r="J65" t="s">
        <v>1</v>
      </c>
      <c r="K65" t="s">
        <v>2</v>
      </c>
      <c r="L65" t="s">
        <v>3</v>
      </c>
      <c r="M65" t="s">
        <v>4</v>
      </c>
      <c r="N65" s="2">
        <v>16965</v>
      </c>
      <c r="O65" s="2">
        <v>16921.824000000001</v>
      </c>
      <c r="P65" s="2">
        <v>14174.26</v>
      </c>
      <c r="Q65" t="s">
        <v>36</v>
      </c>
      <c r="R65" t="s">
        <v>23</v>
      </c>
      <c r="S65" t="s">
        <v>24</v>
      </c>
      <c r="T65" t="s">
        <v>8</v>
      </c>
    </row>
    <row r="66" spans="1:20" x14ac:dyDescent="0.25">
      <c r="A66" s="74">
        <f>P66+P67+P68</f>
        <v>25563.005000000001</v>
      </c>
      <c r="B66" s="74" t="str">
        <f>'Весы 01.11.2023'!I73</f>
        <v>25520</v>
      </c>
      <c r="C66" s="70" t="str">
        <f>'Весы 01.11.2023'!K73</f>
        <v>-43</v>
      </c>
      <c r="D66" s="74">
        <f t="shared" ref="D66" si="49">B66-C66</f>
        <v>25563</v>
      </c>
      <c r="E66" s="74">
        <f t="shared" ref="E66" si="50">A66-D66</f>
        <v>5.0000000010186341E-3</v>
      </c>
      <c r="F66" t="s">
        <v>28</v>
      </c>
      <c r="G66" s="1">
        <v>45231</v>
      </c>
      <c r="H66" t="s">
        <v>237</v>
      </c>
      <c r="I66" t="s">
        <v>103</v>
      </c>
      <c r="J66" t="s">
        <v>16</v>
      </c>
      <c r="K66" t="s">
        <v>17</v>
      </c>
      <c r="L66" t="s">
        <v>3</v>
      </c>
      <c r="M66" t="s">
        <v>4</v>
      </c>
      <c r="N66" s="2">
        <v>10000</v>
      </c>
      <c r="O66" s="2">
        <v>10000</v>
      </c>
      <c r="P66" s="2">
        <v>7455</v>
      </c>
      <c r="Q66" t="s">
        <v>39</v>
      </c>
      <c r="R66" t="s">
        <v>23</v>
      </c>
      <c r="S66" t="s">
        <v>29</v>
      </c>
      <c r="T66" t="s">
        <v>8</v>
      </c>
    </row>
    <row r="67" spans="1:20" x14ac:dyDescent="0.25">
      <c r="A67" s="74"/>
      <c r="B67" s="74"/>
      <c r="C67" s="71"/>
      <c r="D67" s="74"/>
      <c r="E67" s="74"/>
      <c r="F67" t="s">
        <v>28</v>
      </c>
      <c r="G67" s="1">
        <v>45231</v>
      </c>
      <c r="H67" t="s">
        <v>237</v>
      </c>
      <c r="I67" t="s">
        <v>25</v>
      </c>
      <c r="J67" t="s">
        <v>11</v>
      </c>
      <c r="K67" t="s">
        <v>12</v>
      </c>
      <c r="L67" t="s">
        <v>3</v>
      </c>
      <c r="M67" t="s">
        <v>4</v>
      </c>
      <c r="N67" s="2">
        <v>12000</v>
      </c>
      <c r="O67" s="2">
        <v>11970.936</v>
      </c>
      <c r="P67" s="2">
        <v>8934.0020000000004</v>
      </c>
      <c r="Q67" t="s">
        <v>33</v>
      </c>
      <c r="R67" t="s">
        <v>23</v>
      </c>
      <c r="S67" t="s">
        <v>29</v>
      </c>
      <c r="T67" t="s">
        <v>8</v>
      </c>
    </row>
    <row r="68" spans="1:20" x14ac:dyDescent="0.25">
      <c r="A68" s="74"/>
      <c r="B68" s="74"/>
      <c r="C68" s="71"/>
      <c r="D68" s="74"/>
      <c r="E68" s="74"/>
      <c r="F68" t="s">
        <v>28</v>
      </c>
      <c r="G68" s="1">
        <v>45231</v>
      </c>
      <c r="H68" t="s">
        <v>237</v>
      </c>
      <c r="I68" t="s">
        <v>62</v>
      </c>
      <c r="J68" t="s">
        <v>1</v>
      </c>
      <c r="K68" t="s">
        <v>2</v>
      </c>
      <c r="L68" t="s">
        <v>3</v>
      </c>
      <c r="M68" t="s">
        <v>4</v>
      </c>
      <c r="N68" s="2">
        <v>11000</v>
      </c>
      <c r="O68" s="2">
        <v>10971.906000000001</v>
      </c>
      <c r="P68" s="2">
        <v>9174.0030000000006</v>
      </c>
      <c r="Q68" t="s">
        <v>36</v>
      </c>
      <c r="R68" t="s">
        <v>23</v>
      </c>
      <c r="S68" t="s">
        <v>29</v>
      </c>
      <c r="T68" t="s">
        <v>8</v>
      </c>
    </row>
    <row r="69" spans="1:20" x14ac:dyDescent="0.25">
      <c r="A69" s="56">
        <f>P69</f>
        <v>27373</v>
      </c>
      <c r="B69" s="60" t="s">
        <v>1446</v>
      </c>
      <c r="C69" s="59"/>
      <c r="E69" s="59"/>
      <c r="F69" t="s">
        <v>175</v>
      </c>
      <c r="G69" s="1">
        <v>45231</v>
      </c>
      <c r="H69" t="s">
        <v>173</v>
      </c>
      <c r="I69" t="s">
        <v>90</v>
      </c>
      <c r="J69" t="s">
        <v>1</v>
      </c>
      <c r="K69" t="s">
        <v>2</v>
      </c>
      <c r="L69" t="s">
        <v>3</v>
      </c>
      <c r="M69" t="s">
        <v>4</v>
      </c>
      <c r="N69" s="2">
        <v>32626</v>
      </c>
      <c r="O69" s="2">
        <v>32598.464</v>
      </c>
      <c r="P69" s="2">
        <v>27373</v>
      </c>
      <c r="Q69" t="s">
        <v>48</v>
      </c>
      <c r="R69" t="s">
        <v>23</v>
      </c>
      <c r="S69" t="s">
        <v>77</v>
      </c>
      <c r="T69" t="s">
        <v>8</v>
      </c>
    </row>
    <row r="70" spans="1:20" x14ac:dyDescent="0.25">
      <c r="A70" s="163" t="s">
        <v>1467</v>
      </c>
      <c r="B70" s="163"/>
      <c r="C70" s="164"/>
      <c r="D70" s="163"/>
      <c r="E70" s="163">
        <f>SUM(E4:E69)</f>
        <v>3.0870000000104483</v>
      </c>
      <c r="F70" s="165"/>
      <c r="G70" s="166"/>
      <c r="H70" s="165"/>
      <c r="I70" s="165"/>
      <c r="J70" s="165"/>
      <c r="K70" s="165"/>
      <c r="L70" s="165"/>
      <c r="M70" s="165"/>
      <c r="N70" s="167"/>
      <c r="O70" s="167"/>
      <c r="P70" s="167"/>
      <c r="Q70" s="165"/>
      <c r="R70" s="165"/>
      <c r="S70" s="165"/>
      <c r="T70" s="165"/>
    </row>
    <row r="71" spans="1:20" x14ac:dyDescent="0.25">
      <c r="A71" s="168"/>
      <c r="B71" s="168"/>
      <c r="C71" s="169"/>
      <c r="D71" s="168"/>
      <c r="E71" s="168"/>
      <c r="F71" s="165"/>
      <c r="G71" s="166"/>
      <c r="H71" s="165"/>
      <c r="I71" s="165"/>
      <c r="J71" s="165"/>
      <c r="K71" s="165"/>
      <c r="L71" s="165"/>
      <c r="M71" s="165"/>
      <c r="N71" s="167"/>
      <c r="O71" s="167"/>
      <c r="P71" s="167"/>
      <c r="Q71" s="165"/>
      <c r="R71" s="165"/>
      <c r="S71" s="165"/>
      <c r="T71" s="165"/>
    </row>
    <row r="72" spans="1:20" x14ac:dyDescent="0.25">
      <c r="A72" s="74">
        <f>P72+P73</f>
        <v>24455.707999999999</v>
      </c>
      <c r="B72" s="74" t="str">
        <f>'Весы 02.11.2023'!I48</f>
        <v>24370</v>
      </c>
      <c r="C72" s="70" t="str">
        <f>'Весы 02.11.2023'!K48</f>
        <v>-1</v>
      </c>
      <c r="D72" s="74">
        <f>B72-C72</f>
        <v>24371</v>
      </c>
      <c r="E72" s="72">
        <f>A72-D72</f>
        <v>84.707999999998719</v>
      </c>
      <c r="F72" t="s">
        <v>5</v>
      </c>
      <c r="G72" s="1">
        <v>45232</v>
      </c>
      <c r="H72" t="s">
        <v>186</v>
      </c>
      <c r="I72" t="s">
        <v>88</v>
      </c>
      <c r="J72" t="s">
        <v>11</v>
      </c>
      <c r="K72" t="s">
        <v>12</v>
      </c>
      <c r="L72" t="s">
        <v>3</v>
      </c>
      <c r="M72" t="s">
        <v>4</v>
      </c>
      <c r="N72" s="2">
        <v>15410</v>
      </c>
      <c r="O72" s="2">
        <v>15503.138000000001</v>
      </c>
      <c r="P72" s="2">
        <v>11565.208000000001</v>
      </c>
      <c r="Q72" t="s">
        <v>75</v>
      </c>
      <c r="R72" t="s">
        <v>6</v>
      </c>
      <c r="S72" t="s">
        <v>102</v>
      </c>
      <c r="T72" t="s">
        <v>8</v>
      </c>
    </row>
    <row r="73" spans="1:20" x14ac:dyDescent="0.25">
      <c r="A73" s="74"/>
      <c r="B73" s="74"/>
      <c r="C73" s="71"/>
      <c r="D73" s="74"/>
      <c r="E73" s="72"/>
      <c r="F73" t="s">
        <v>5</v>
      </c>
      <c r="G73" s="1">
        <v>45232</v>
      </c>
      <c r="H73" t="s">
        <v>186</v>
      </c>
      <c r="I73" t="s">
        <v>129</v>
      </c>
      <c r="J73" t="s">
        <v>1</v>
      </c>
      <c r="K73" t="s">
        <v>2</v>
      </c>
      <c r="L73" t="s">
        <v>3</v>
      </c>
      <c r="M73" t="s">
        <v>4</v>
      </c>
      <c r="N73" s="2">
        <v>15410</v>
      </c>
      <c r="O73" s="2">
        <v>15489.284</v>
      </c>
      <c r="P73" s="2">
        <v>12890.5</v>
      </c>
      <c r="Q73" t="s">
        <v>138</v>
      </c>
      <c r="R73" t="s">
        <v>6</v>
      </c>
      <c r="S73" t="s">
        <v>102</v>
      </c>
      <c r="T73" t="s">
        <v>8</v>
      </c>
    </row>
    <row r="74" spans="1:20" x14ac:dyDescent="0.25">
      <c r="A74" s="74">
        <f t="shared" ref="A74" si="51">P74+P75</f>
        <v>26715.995999999999</v>
      </c>
      <c r="B74" s="74" t="str">
        <f>'Весы 02.11.2023'!I59</f>
        <v>26716</v>
      </c>
      <c r="C74" s="70" t="str">
        <f>'Весы 02.11.2023'!K59</f>
        <v>-18</v>
      </c>
      <c r="D74" s="74">
        <f t="shared" ref="D74" si="52">B74-C74</f>
        <v>26734</v>
      </c>
      <c r="E74" s="72">
        <f>A74-D74</f>
        <v>-18.004000000000815</v>
      </c>
      <c r="F74" t="s">
        <v>32</v>
      </c>
      <c r="G74" s="1">
        <v>45232</v>
      </c>
      <c r="H74" t="s">
        <v>176</v>
      </c>
      <c r="I74" t="s">
        <v>30</v>
      </c>
      <c r="J74" t="s">
        <v>11</v>
      </c>
      <c r="K74" t="s">
        <v>12</v>
      </c>
      <c r="L74" t="s">
        <v>3</v>
      </c>
      <c r="M74" t="s">
        <v>4</v>
      </c>
      <c r="N74" s="2">
        <v>15000</v>
      </c>
      <c r="O74" s="2">
        <v>15072.495000000001</v>
      </c>
      <c r="P74" s="2">
        <v>11250.001</v>
      </c>
      <c r="Q74" t="s">
        <v>73</v>
      </c>
      <c r="R74" t="s">
        <v>23</v>
      </c>
      <c r="S74" t="s">
        <v>34</v>
      </c>
      <c r="T74" t="s">
        <v>8</v>
      </c>
    </row>
    <row r="75" spans="1:20" x14ac:dyDescent="0.25">
      <c r="A75" s="74"/>
      <c r="B75" s="74"/>
      <c r="C75" s="71"/>
      <c r="D75" s="74"/>
      <c r="E75" s="72"/>
      <c r="F75" t="s">
        <v>32</v>
      </c>
      <c r="G75" s="1">
        <v>45232</v>
      </c>
      <c r="H75" t="s">
        <v>176</v>
      </c>
      <c r="I75" t="s">
        <v>68</v>
      </c>
      <c r="J75" t="s">
        <v>1</v>
      </c>
      <c r="K75" t="s">
        <v>2</v>
      </c>
      <c r="L75" t="s">
        <v>3</v>
      </c>
      <c r="M75" t="s">
        <v>4</v>
      </c>
      <c r="N75" s="2">
        <v>18500</v>
      </c>
      <c r="O75" s="2">
        <v>18547.434000000001</v>
      </c>
      <c r="P75" s="2">
        <v>15465.995000000001</v>
      </c>
      <c r="Q75" t="s">
        <v>51</v>
      </c>
      <c r="R75" t="s">
        <v>23</v>
      </c>
      <c r="S75" t="s">
        <v>34</v>
      </c>
      <c r="T75" t="s">
        <v>8</v>
      </c>
    </row>
    <row r="76" spans="1:20" x14ac:dyDescent="0.25">
      <c r="A76" s="74">
        <f>P76+P77+P78+P79</f>
        <v>26065.912999999997</v>
      </c>
      <c r="B76" s="74" t="str">
        <f>'Весы 02.11.2023'!I62</f>
        <v>25910</v>
      </c>
      <c r="C76" s="70" t="str">
        <f>'Весы 02.11.2023'!K62</f>
        <v>-38</v>
      </c>
      <c r="D76" s="74">
        <f>B76-C76</f>
        <v>25948</v>
      </c>
      <c r="E76" s="72">
        <f>A76-D76</f>
        <v>117.91299999999683</v>
      </c>
      <c r="F76" t="s">
        <v>58</v>
      </c>
      <c r="G76" s="1">
        <v>45232</v>
      </c>
      <c r="H76" t="s">
        <v>177</v>
      </c>
      <c r="I76" t="s">
        <v>148</v>
      </c>
      <c r="J76" t="s">
        <v>11</v>
      </c>
      <c r="K76" t="s">
        <v>12</v>
      </c>
      <c r="L76" t="s">
        <v>3</v>
      </c>
      <c r="M76" t="s">
        <v>4</v>
      </c>
      <c r="N76" s="2">
        <v>10000</v>
      </c>
      <c r="O76" s="2">
        <v>10048.08</v>
      </c>
      <c r="P76" s="2">
        <v>7524.9960000000001</v>
      </c>
      <c r="Q76" t="s">
        <v>73</v>
      </c>
      <c r="R76" t="s">
        <v>23</v>
      </c>
      <c r="S76" t="s">
        <v>59</v>
      </c>
      <c r="T76" t="s">
        <v>8</v>
      </c>
    </row>
    <row r="77" spans="1:20" x14ac:dyDescent="0.25">
      <c r="A77" s="74"/>
      <c r="B77" s="74"/>
      <c r="C77" s="71"/>
      <c r="D77" s="74"/>
      <c r="E77" s="72"/>
      <c r="F77" t="s">
        <v>58</v>
      </c>
      <c r="G77" s="1">
        <v>45232</v>
      </c>
      <c r="H77" t="s">
        <v>177</v>
      </c>
      <c r="I77" t="s">
        <v>142</v>
      </c>
      <c r="J77" t="s">
        <v>1</v>
      </c>
      <c r="K77" t="s">
        <v>2</v>
      </c>
      <c r="L77" t="s">
        <v>3</v>
      </c>
      <c r="M77" t="s">
        <v>4</v>
      </c>
      <c r="N77" s="2">
        <v>12000</v>
      </c>
      <c r="O77" s="2">
        <v>12010.092000000001</v>
      </c>
      <c r="P77" s="2">
        <v>10109.996999999999</v>
      </c>
      <c r="Q77" t="s">
        <v>49</v>
      </c>
      <c r="R77" t="s">
        <v>23</v>
      </c>
      <c r="S77" t="s">
        <v>59</v>
      </c>
      <c r="T77" t="s">
        <v>8</v>
      </c>
    </row>
    <row r="78" spans="1:20" x14ac:dyDescent="0.25">
      <c r="A78" s="74"/>
      <c r="B78" s="74"/>
      <c r="C78" s="71"/>
      <c r="D78" s="74"/>
      <c r="E78" s="72"/>
      <c r="F78" t="s">
        <v>58</v>
      </c>
      <c r="G78" s="1">
        <v>45232</v>
      </c>
      <c r="H78" t="s">
        <v>261</v>
      </c>
      <c r="I78" t="s">
        <v>130</v>
      </c>
      <c r="J78" t="s">
        <v>20</v>
      </c>
      <c r="K78" t="s">
        <v>21</v>
      </c>
      <c r="L78" t="s">
        <v>3</v>
      </c>
      <c r="M78" t="s">
        <v>4</v>
      </c>
      <c r="N78" s="2">
        <v>5005</v>
      </c>
      <c r="O78" s="2">
        <v>5013.433</v>
      </c>
      <c r="P78" s="2">
        <v>4214.2089999999998</v>
      </c>
      <c r="Q78" t="s">
        <v>55</v>
      </c>
      <c r="R78" t="s">
        <v>23</v>
      </c>
      <c r="S78" t="s">
        <v>59</v>
      </c>
      <c r="T78" t="s">
        <v>8</v>
      </c>
    </row>
    <row r="79" spans="1:20" x14ac:dyDescent="0.25">
      <c r="A79" s="74"/>
      <c r="B79" s="74"/>
      <c r="C79" s="71"/>
      <c r="D79" s="74"/>
      <c r="E79" s="72"/>
      <c r="F79" t="s">
        <v>58</v>
      </c>
      <c r="G79" s="1">
        <v>45232</v>
      </c>
      <c r="H79" t="s">
        <v>261</v>
      </c>
      <c r="I79" t="s">
        <v>142</v>
      </c>
      <c r="J79" t="s">
        <v>1</v>
      </c>
      <c r="K79" t="s">
        <v>2</v>
      </c>
      <c r="L79" t="s">
        <v>3</v>
      </c>
      <c r="M79" t="s">
        <v>4</v>
      </c>
      <c r="N79" s="2">
        <v>5005</v>
      </c>
      <c r="O79" s="2">
        <v>5009.2089999999998</v>
      </c>
      <c r="P79" s="2">
        <v>4216.7110000000002</v>
      </c>
      <c r="Q79" t="s">
        <v>49</v>
      </c>
      <c r="R79" t="s">
        <v>23</v>
      </c>
      <c r="S79" t="s">
        <v>59</v>
      </c>
      <c r="T79" t="s">
        <v>8</v>
      </c>
    </row>
    <row r="80" spans="1:20" x14ac:dyDescent="0.25">
      <c r="A80" s="74">
        <f>P80+P81+P82</f>
        <v>26717.003000000001</v>
      </c>
      <c r="B80" s="74" t="str">
        <f>'Весы 02.11.2023'!I56</f>
        <v>26520</v>
      </c>
      <c r="C80" s="70" t="str">
        <f>'Весы 02.11.2023'!K56</f>
        <v>-43</v>
      </c>
      <c r="D80" s="74">
        <f t="shared" ref="D80" si="53">B80-C80</f>
        <v>26563</v>
      </c>
      <c r="E80" s="72">
        <f t="shared" ref="E80" si="54">A80-D80</f>
        <v>154.00300000000061</v>
      </c>
      <c r="F80" t="s">
        <v>28</v>
      </c>
      <c r="G80" s="1">
        <v>45232</v>
      </c>
      <c r="H80" t="s">
        <v>152</v>
      </c>
      <c r="I80" t="s">
        <v>93</v>
      </c>
      <c r="J80" t="s">
        <v>11</v>
      </c>
      <c r="K80" t="s">
        <v>12</v>
      </c>
      <c r="L80" t="s">
        <v>3</v>
      </c>
      <c r="M80" t="s">
        <v>4</v>
      </c>
      <c r="N80" s="2">
        <v>11000</v>
      </c>
      <c r="O80" s="2">
        <v>11052.843999999999</v>
      </c>
      <c r="P80" s="2">
        <v>8283.0030000000006</v>
      </c>
      <c r="Q80" t="s">
        <v>73</v>
      </c>
      <c r="R80" t="s">
        <v>23</v>
      </c>
      <c r="S80" t="s">
        <v>29</v>
      </c>
      <c r="T80" t="s">
        <v>8</v>
      </c>
    </row>
    <row r="81" spans="1:20" x14ac:dyDescent="0.25">
      <c r="A81" s="74"/>
      <c r="B81" s="74"/>
      <c r="C81" s="71"/>
      <c r="D81" s="74"/>
      <c r="E81" s="72"/>
      <c r="F81" t="s">
        <v>28</v>
      </c>
      <c r="G81" s="1">
        <v>45232</v>
      </c>
      <c r="H81" t="s">
        <v>152</v>
      </c>
      <c r="I81" t="s">
        <v>150</v>
      </c>
      <c r="J81" t="s">
        <v>20</v>
      </c>
      <c r="K81" t="s">
        <v>21</v>
      </c>
      <c r="L81" t="s">
        <v>3</v>
      </c>
      <c r="M81" t="s">
        <v>4</v>
      </c>
      <c r="N81" s="2">
        <v>5000</v>
      </c>
      <c r="O81" s="2">
        <v>5016.915</v>
      </c>
      <c r="P81" s="2">
        <v>4204.9989999999998</v>
      </c>
      <c r="Q81" t="s">
        <v>73</v>
      </c>
      <c r="R81" t="s">
        <v>23</v>
      </c>
      <c r="S81" t="s">
        <v>29</v>
      </c>
      <c r="T81" t="s">
        <v>8</v>
      </c>
    </row>
    <row r="82" spans="1:20" x14ac:dyDescent="0.25">
      <c r="A82" s="74"/>
      <c r="B82" s="74"/>
      <c r="C82" s="71"/>
      <c r="D82" s="74"/>
      <c r="E82" s="72"/>
      <c r="F82" t="s">
        <v>28</v>
      </c>
      <c r="G82" s="1">
        <v>45232</v>
      </c>
      <c r="H82" t="s">
        <v>152</v>
      </c>
      <c r="I82" t="s">
        <v>95</v>
      </c>
      <c r="J82" t="s">
        <v>1</v>
      </c>
      <c r="K82" t="s">
        <v>2</v>
      </c>
      <c r="L82" t="s">
        <v>3</v>
      </c>
      <c r="M82" t="s">
        <v>4</v>
      </c>
      <c r="N82" s="2">
        <v>17000</v>
      </c>
      <c r="O82" s="2">
        <v>17072.691999999999</v>
      </c>
      <c r="P82" s="2">
        <v>14229.001</v>
      </c>
      <c r="Q82" t="s">
        <v>75</v>
      </c>
      <c r="R82" t="s">
        <v>23</v>
      </c>
      <c r="S82" t="s">
        <v>29</v>
      </c>
      <c r="T82" t="s">
        <v>8</v>
      </c>
    </row>
    <row r="83" spans="1:20" x14ac:dyDescent="0.25">
      <c r="A83" s="74">
        <f t="shared" ref="A83" si="55">P83+P84</f>
        <v>25832.393</v>
      </c>
      <c r="B83" s="74" t="str">
        <f>'Весы 02.11.2023'!I53</f>
        <v>25690</v>
      </c>
      <c r="C83" s="70" t="str">
        <f>'Весы 02.11.2023'!K53</f>
        <v>-19</v>
      </c>
      <c r="D83" s="74">
        <f t="shared" ref="D83" si="56">B83-C83</f>
        <v>25709</v>
      </c>
      <c r="E83" s="72">
        <f t="shared" ref="E83" si="57">A83-D83</f>
        <v>123.39300000000003</v>
      </c>
      <c r="F83" t="s">
        <v>107</v>
      </c>
      <c r="G83" s="1">
        <v>45232</v>
      </c>
      <c r="H83" t="s">
        <v>256</v>
      </c>
      <c r="I83" t="s">
        <v>68</v>
      </c>
      <c r="J83" t="s">
        <v>1</v>
      </c>
      <c r="K83" t="s">
        <v>2</v>
      </c>
      <c r="L83" t="s">
        <v>3</v>
      </c>
      <c r="M83" t="s">
        <v>4</v>
      </c>
      <c r="N83" s="2">
        <v>12500</v>
      </c>
      <c r="O83" s="2">
        <v>12553.575000000001</v>
      </c>
      <c r="P83" s="2">
        <v>10449.996999999999</v>
      </c>
      <c r="Q83" t="s">
        <v>75</v>
      </c>
      <c r="R83" t="s">
        <v>23</v>
      </c>
      <c r="S83" t="s">
        <v>108</v>
      </c>
      <c r="T83" t="s">
        <v>8</v>
      </c>
    </row>
    <row r="84" spans="1:20" x14ac:dyDescent="0.25">
      <c r="A84" s="74"/>
      <c r="B84" s="74"/>
      <c r="C84" s="71"/>
      <c r="D84" s="74"/>
      <c r="E84" s="72"/>
      <c r="F84" t="s">
        <v>107</v>
      </c>
      <c r="G84" s="1">
        <v>45232</v>
      </c>
      <c r="H84" t="s">
        <v>231</v>
      </c>
      <c r="I84" t="s">
        <v>68</v>
      </c>
      <c r="J84" t="s">
        <v>1</v>
      </c>
      <c r="K84" t="s">
        <v>2</v>
      </c>
      <c r="L84" t="s">
        <v>3</v>
      </c>
      <c r="M84" t="s">
        <v>4</v>
      </c>
      <c r="N84" s="2">
        <v>18400</v>
      </c>
      <c r="O84" s="2">
        <v>18478.862000000001</v>
      </c>
      <c r="P84" s="2">
        <v>15382.396000000001</v>
      </c>
      <c r="Q84" t="s">
        <v>75</v>
      </c>
      <c r="R84" t="s">
        <v>23</v>
      </c>
      <c r="S84" t="s">
        <v>108</v>
      </c>
      <c r="T84" t="s">
        <v>8</v>
      </c>
    </row>
    <row r="85" spans="1:20" x14ac:dyDescent="0.25">
      <c r="A85" s="74">
        <f>P85+P86</f>
        <v>25753.344000000001</v>
      </c>
      <c r="B85" s="74" t="str">
        <f>'Весы 02.11.2023'!I49</f>
        <v>25580</v>
      </c>
      <c r="C85" s="70" t="str">
        <f>'Весы 02.11.2023'!K49</f>
        <v>-38</v>
      </c>
      <c r="D85" s="74">
        <f t="shared" ref="D85" si="58">B85-C85</f>
        <v>25618</v>
      </c>
      <c r="E85" s="72">
        <f t="shared" ref="E85" si="59">A85-D85</f>
        <v>135.34400000000096</v>
      </c>
      <c r="F85" t="s">
        <v>46</v>
      </c>
      <c r="G85" s="1">
        <v>45232</v>
      </c>
      <c r="H85" t="s">
        <v>199</v>
      </c>
      <c r="I85" t="s">
        <v>30</v>
      </c>
      <c r="J85" t="s">
        <v>11</v>
      </c>
      <c r="K85" t="s">
        <v>12</v>
      </c>
      <c r="L85" t="s">
        <v>3</v>
      </c>
      <c r="M85" t="s">
        <v>4</v>
      </c>
      <c r="N85" s="2">
        <v>12895</v>
      </c>
      <c r="O85" s="2">
        <v>12957.322</v>
      </c>
      <c r="P85" s="2">
        <v>9671.2510000000002</v>
      </c>
      <c r="Q85" t="s">
        <v>73</v>
      </c>
      <c r="R85" t="s">
        <v>23</v>
      </c>
      <c r="S85" t="s">
        <v>47</v>
      </c>
      <c r="T85" t="s">
        <v>8</v>
      </c>
    </row>
    <row r="86" spans="1:20" x14ac:dyDescent="0.25">
      <c r="A86" s="74"/>
      <c r="B86" s="74"/>
      <c r="C86" s="71"/>
      <c r="D86" s="74"/>
      <c r="E86" s="72"/>
      <c r="F86" t="s">
        <v>46</v>
      </c>
      <c r="G86" s="1">
        <v>45232</v>
      </c>
      <c r="H86" t="s">
        <v>199</v>
      </c>
      <c r="I86" t="s">
        <v>35</v>
      </c>
      <c r="J86" t="s">
        <v>1</v>
      </c>
      <c r="K86" t="s">
        <v>2</v>
      </c>
      <c r="L86" t="s">
        <v>3</v>
      </c>
      <c r="M86" t="s">
        <v>4</v>
      </c>
      <c r="N86" s="2">
        <v>19260</v>
      </c>
      <c r="O86" s="2">
        <v>19359.438999999998</v>
      </c>
      <c r="P86" s="2">
        <v>16082.093000000001</v>
      </c>
      <c r="Q86" t="s">
        <v>138</v>
      </c>
      <c r="R86" t="s">
        <v>23</v>
      </c>
      <c r="S86" t="s">
        <v>47</v>
      </c>
      <c r="T86" t="s">
        <v>8</v>
      </c>
    </row>
    <row r="87" spans="1:20" x14ac:dyDescent="0.25">
      <c r="A87" s="74">
        <f t="shared" ref="A87" si="60">P87+P88+P89</f>
        <v>25712.756000000001</v>
      </c>
      <c r="B87" s="74" t="str">
        <f>'Весы 02.11.2023'!I60</f>
        <v>25530</v>
      </c>
      <c r="C87" s="70" t="str">
        <f>'Весы 02.11.2023'!K60</f>
        <v>-37</v>
      </c>
      <c r="D87" s="74">
        <f t="shared" ref="D87" si="61">B87-C87</f>
        <v>25567</v>
      </c>
      <c r="E87" s="72">
        <f t="shared" ref="E87" si="62">A87-D87</f>
        <v>145.75600000000122</v>
      </c>
      <c r="F87" t="s">
        <v>146</v>
      </c>
      <c r="G87" s="1">
        <v>45232</v>
      </c>
      <c r="H87" t="s">
        <v>145</v>
      </c>
      <c r="I87" t="s">
        <v>10</v>
      </c>
      <c r="J87" t="s">
        <v>11</v>
      </c>
      <c r="K87" t="s">
        <v>12</v>
      </c>
      <c r="L87" t="s">
        <v>3</v>
      </c>
      <c r="M87" t="s">
        <v>4</v>
      </c>
      <c r="N87" s="2">
        <v>14550</v>
      </c>
      <c r="O87" s="2">
        <v>14602.495999999999</v>
      </c>
      <c r="P87" s="2">
        <v>10934.32</v>
      </c>
      <c r="Q87" t="s">
        <v>51</v>
      </c>
      <c r="R87" t="s">
        <v>23</v>
      </c>
      <c r="S87" t="s">
        <v>147</v>
      </c>
      <c r="T87" t="s">
        <v>8</v>
      </c>
    </row>
    <row r="88" spans="1:20" x14ac:dyDescent="0.25">
      <c r="A88" s="74"/>
      <c r="B88" s="74"/>
      <c r="C88" s="71"/>
      <c r="D88" s="74"/>
      <c r="E88" s="72"/>
      <c r="F88" t="s">
        <v>146</v>
      </c>
      <c r="G88" s="1">
        <v>45232</v>
      </c>
      <c r="H88" t="s">
        <v>145</v>
      </c>
      <c r="I88" t="s">
        <v>148</v>
      </c>
      <c r="J88" t="s">
        <v>16</v>
      </c>
      <c r="K88" t="s">
        <v>17</v>
      </c>
      <c r="L88" t="s">
        <v>3</v>
      </c>
      <c r="M88" t="s">
        <v>4</v>
      </c>
      <c r="N88" s="2">
        <v>6020</v>
      </c>
      <c r="O88" s="2">
        <v>6056.2340000000004</v>
      </c>
      <c r="P88" s="2">
        <v>4530.049</v>
      </c>
      <c r="Q88" t="s">
        <v>75</v>
      </c>
      <c r="R88" t="s">
        <v>23</v>
      </c>
      <c r="S88" t="s">
        <v>147</v>
      </c>
      <c r="T88" t="s">
        <v>8</v>
      </c>
    </row>
    <row r="89" spans="1:20" x14ac:dyDescent="0.25">
      <c r="A89" s="74"/>
      <c r="B89" s="74"/>
      <c r="C89" s="71"/>
      <c r="D89" s="74"/>
      <c r="E89" s="72"/>
      <c r="F89" t="s">
        <v>146</v>
      </c>
      <c r="G89" s="1">
        <v>45232</v>
      </c>
      <c r="H89" t="s">
        <v>145</v>
      </c>
      <c r="I89" t="s">
        <v>90</v>
      </c>
      <c r="J89" t="s">
        <v>1</v>
      </c>
      <c r="K89" t="s">
        <v>2</v>
      </c>
      <c r="L89" t="s">
        <v>3</v>
      </c>
      <c r="M89" t="s">
        <v>4</v>
      </c>
      <c r="N89" s="2">
        <v>12215</v>
      </c>
      <c r="O89" s="2">
        <v>12235.704</v>
      </c>
      <c r="P89" s="2">
        <v>10248.387000000001</v>
      </c>
      <c r="Q89" t="s">
        <v>55</v>
      </c>
      <c r="R89" t="s">
        <v>23</v>
      </c>
      <c r="S89" t="s">
        <v>147</v>
      </c>
      <c r="T89" t="s">
        <v>8</v>
      </c>
    </row>
    <row r="90" spans="1:20" x14ac:dyDescent="0.25">
      <c r="A90" s="74">
        <f t="shared" ref="A90" si="63">P90+P91+P92</f>
        <v>25767.308000000001</v>
      </c>
      <c r="B90" s="74" t="str">
        <f>'Весы 02.11.2023'!I58</f>
        <v>25600</v>
      </c>
      <c r="C90" s="70" t="str">
        <f>'Весы 02.11.2023'!K58</f>
        <v>-26</v>
      </c>
      <c r="D90" s="74">
        <f t="shared" ref="D90" si="64">B90-C90</f>
        <v>25626</v>
      </c>
      <c r="E90" s="72">
        <f t="shared" ref="E90" si="65">A90-D90</f>
        <v>141.3080000000009</v>
      </c>
      <c r="F90" t="s">
        <v>70</v>
      </c>
      <c r="G90" s="1">
        <v>45232</v>
      </c>
      <c r="H90" t="s">
        <v>242</v>
      </c>
      <c r="I90" t="s">
        <v>93</v>
      </c>
      <c r="J90" t="s">
        <v>11</v>
      </c>
      <c r="K90" t="s">
        <v>12</v>
      </c>
      <c r="L90" t="s">
        <v>3</v>
      </c>
      <c r="M90" t="s">
        <v>4</v>
      </c>
      <c r="N90" s="2">
        <v>12810</v>
      </c>
      <c r="O90" s="2">
        <v>12856.09</v>
      </c>
      <c r="P90" s="2">
        <v>9645.9349999999995</v>
      </c>
      <c r="Q90" t="s">
        <v>51</v>
      </c>
      <c r="R90" t="s">
        <v>23</v>
      </c>
      <c r="S90" t="s">
        <v>71</v>
      </c>
      <c r="T90" t="s">
        <v>8</v>
      </c>
    </row>
    <row r="91" spans="1:20" x14ac:dyDescent="0.25">
      <c r="A91" s="74"/>
      <c r="B91" s="74"/>
      <c r="C91" s="71"/>
      <c r="D91" s="74"/>
      <c r="E91" s="72"/>
      <c r="F91" t="s">
        <v>70</v>
      </c>
      <c r="G91" s="1">
        <v>45232</v>
      </c>
      <c r="H91" t="s">
        <v>242</v>
      </c>
      <c r="I91" t="s">
        <v>85</v>
      </c>
      <c r="J91" t="s">
        <v>1</v>
      </c>
      <c r="K91" t="s">
        <v>2</v>
      </c>
      <c r="L91" t="s">
        <v>3</v>
      </c>
      <c r="M91" t="s">
        <v>4</v>
      </c>
      <c r="N91" s="2">
        <v>12815</v>
      </c>
      <c r="O91" s="2">
        <v>12858.674000000001</v>
      </c>
      <c r="P91" s="2">
        <v>10738.974</v>
      </c>
      <c r="Q91" t="s">
        <v>73</v>
      </c>
      <c r="R91" t="s">
        <v>23</v>
      </c>
      <c r="S91" t="s">
        <v>71</v>
      </c>
      <c r="T91" t="s">
        <v>8</v>
      </c>
    </row>
    <row r="92" spans="1:20" x14ac:dyDescent="0.25">
      <c r="A92" s="74"/>
      <c r="B92" s="74"/>
      <c r="C92" s="71"/>
      <c r="D92" s="74"/>
      <c r="E92" s="72"/>
      <c r="F92" t="s">
        <v>70</v>
      </c>
      <c r="G92" s="1">
        <v>45232</v>
      </c>
      <c r="H92" t="s">
        <v>242</v>
      </c>
      <c r="I92" t="s">
        <v>150</v>
      </c>
      <c r="J92" t="s">
        <v>124</v>
      </c>
      <c r="K92" t="s">
        <v>125</v>
      </c>
      <c r="L92" t="s">
        <v>3</v>
      </c>
      <c r="M92" t="s">
        <v>4</v>
      </c>
      <c r="N92" s="2">
        <v>6400</v>
      </c>
      <c r="O92" s="2">
        <v>6421.6509999999998</v>
      </c>
      <c r="P92" s="2">
        <v>5382.3990000000003</v>
      </c>
      <c r="Q92" t="s">
        <v>73</v>
      </c>
      <c r="R92" t="s">
        <v>23</v>
      </c>
      <c r="S92" t="s">
        <v>71</v>
      </c>
      <c r="T92" t="s">
        <v>8</v>
      </c>
    </row>
    <row r="93" spans="1:20" x14ac:dyDescent="0.25">
      <c r="A93" s="74">
        <f>P93+P94+P95+P96</f>
        <v>26347.314999999999</v>
      </c>
      <c r="B93" s="74" t="str">
        <f>'Весы 02.11.2023'!I61</f>
        <v>26190</v>
      </c>
      <c r="C93" s="70" t="str">
        <f>'Весы 02.11.2023'!K61</f>
        <v>-28</v>
      </c>
      <c r="D93" s="74">
        <f>B93-C93</f>
        <v>26218</v>
      </c>
      <c r="E93" s="72">
        <f>A93-D93</f>
        <v>129.31499999999869</v>
      </c>
      <c r="F93" t="s">
        <v>101</v>
      </c>
      <c r="G93" s="1">
        <v>45232</v>
      </c>
      <c r="H93" t="s">
        <v>204</v>
      </c>
      <c r="I93" t="s">
        <v>148</v>
      </c>
      <c r="J93" t="s">
        <v>16</v>
      </c>
      <c r="K93" t="s">
        <v>17</v>
      </c>
      <c r="L93" t="s">
        <v>3</v>
      </c>
      <c r="M93" t="s">
        <v>4</v>
      </c>
      <c r="N93" s="2">
        <v>7210</v>
      </c>
      <c r="O93" s="2">
        <v>7235.9629999999997</v>
      </c>
      <c r="P93" s="2">
        <v>5425.5240000000003</v>
      </c>
      <c r="Q93" t="s">
        <v>51</v>
      </c>
      <c r="R93" t="s">
        <v>6</v>
      </c>
      <c r="S93" t="s">
        <v>205</v>
      </c>
      <c r="T93" t="s">
        <v>8</v>
      </c>
    </row>
    <row r="94" spans="1:20" x14ac:dyDescent="0.25">
      <c r="A94" s="74"/>
      <c r="B94" s="74"/>
      <c r="C94" s="71"/>
      <c r="D94" s="74"/>
      <c r="E94" s="72"/>
      <c r="F94" t="s">
        <v>101</v>
      </c>
      <c r="G94" s="1">
        <v>45232</v>
      </c>
      <c r="H94" t="s">
        <v>204</v>
      </c>
      <c r="I94" t="s">
        <v>10</v>
      </c>
      <c r="J94" t="s">
        <v>11</v>
      </c>
      <c r="K94" t="s">
        <v>12</v>
      </c>
      <c r="L94" t="s">
        <v>3</v>
      </c>
      <c r="M94" t="s">
        <v>4</v>
      </c>
      <c r="N94" s="2">
        <v>2805</v>
      </c>
      <c r="O94" s="2">
        <v>2815.12</v>
      </c>
      <c r="P94" s="2">
        <v>2107.9569999999999</v>
      </c>
      <c r="Q94" t="s">
        <v>51</v>
      </c>
      <c r="R94" t="s">
        <v>6</v>
      </c>
      <c r="S94" t="s">
        <v>205</v>
      </c>
      <c r="T94" t="s">
        <v>8</v>
      </c>
    </row>
    <row r="95" spans="1:20" x14ac:dyDescent="0.25">
      <c r="A95" s="74"/>
      <c r="B95" s="74"/>
      <c r="C95" s="71"/>
      <c r="D95" s="74"/>
      <c r="E95" s="72"/>
      <c r="F95" t="s">
        <v>101</v>
      </c>
      <c r="G95" s="1">
        <v>45232</v>
      </c>
      <c r="H95" t="s">
        <v>204</v>
      </c>
      <c r="I95" t="s">
        <v>130</v>
      </c>
      <c r="J95" t="s">
        <v>20</v>
      </c>
      <c r="K95" t="s">
        <v>21</v>
      </c>
      <c r="L95" t="s">
        <v>3</v>
      </c>
      <c r="M95" t="s">
        <v>4</v>
      </c>
      <c r="N95" s="2">
        <v>12620</v>
      </c>
      <c r="O95" s="2">
        <v>12641.264999999999</v>
      </c>
      <c r="P95" s="2">
        <v>10626.036</v>
      </c>
      <c r="Q95" t="s">
        <v>55</v>
      </c>
      <c r="R95" t="s">
        <v>6</v>
      </c>
      <c r="S95" t="s">
        <v>205</v>
      </c>
      <c r="T95" t="s">
        <v>8</v>
      </c>
    </row>
    <row r="96" spans="1:20" x14ac:dyDescent="0.25">
      <c r="A96" s="74"/>
      <c r="B96" s="74"/>
      <c r="C96" s="71"/>
      <c r="D96" s="74"/>
      <c r="E96" s="72"/>
      <c r="F96" t="s">
        <v>101</v>
      </c>
      <c r="G96" s="1">
        <v>45232</v>
      </c>
      <c r="H96" t="s">
        <v>204</v>
      </c>
      <c r="I96" t="s">
        <v>166</v>
      </c>
      <c r="J96" t="s">
        <v>1</v>
      </c>
      <c r="K96" t="s">
        <v>2</v>
      </c>
      <c r="L96" t="s">
        <v>3</v>
      </c>
      <c r="M96" t="s">
        <v>4</v>
      </c>
      <c r="N96" s="2">
        <v>9730</v>
      </c>
      <c r="O96" s="2">
        <v>9738.2019999999993</v>
      </c>
      <c r="P96" s="2">
        <v>8187.7979999999998</v>
      </c>
      <c r="Q96" t="s">
        <v>49</v>
      </c>
      <c r="R96" t="s">
        <v>6</v>
      </c>
      <c r="S96" t="s">
        <v>205</v>
      </c>
      <c r="T96" t="s">
        <v>8</v>
      </c>
    </row>
    <row r="97" spans="1:20" x14ac:dyDescent="0.25">
      <c r="A97" s="74">
        <f>P97+P98</f>
        <v>26781.253000000001</v>
      </c>
      <c r="B97" s="74" t="str">
        <f>'Весы 02.11.2023'!I50</f>
        <v>26620</v>
      </c>
      <c r="C97" s="70" t="str">
        <f>'Весы 02.11.2023'!K50</f>
        <v>-33</v>
      </c>
      <c r="D97" s="74">
        <f t="shared" ref="D97" si="66">B97-C97</f>
        <v>26653</v>
      </c>
      <c r="E97" s="72">
        <f t="shared" ref="E97" si="67">A97-D97</f>
        <v>128.25300000000061</v>
      </c>
      <c r="F97" t="s">
        <v>65</v>
      </c>
      <c r="G97" s="1">
        <v>45232</v>
      </c>
      <c r="H97" t="s">
        <v>262</v>
      </c>
      <c r="I97" t="s">
        <v>68</v>
      </c>
      <c r="J97" t="s">
        <v>1</v>
      </c>
      <c r="K97" t="s">
        <v>2</v>
      </c>
      <c r="L97" t="s">
        <v>3</v>
      </c>
      <c r="M97" t="s">
        <v>4</v>
      </c>
      <c r="N97" s="2">
        <v>13975</v>
      </c>
      <c r="O97" s="2">
        <v>14034.897000000001</v>
      </c>
      <c r="P97" s="2">
        <v>11683.097</v>
      </c>
      <c r="Q97" t="s">
        <v>75</v>
      </c>
      <c r="R97" t="s">
        <v>6</v>
      </c>
      <c r="S97" t="s">
        <v>66</v>
      </c>
      <c r="T97" t="s">
        <v>8</v>
      </c>
    </row>
    <row r="98" spans="1:20" x14ac:dyDescent="0.25">
      <c r="A98" s="74"/>
      <c r="B98" s="74"/>
      <c r="C98" s="71"/>
      <c r="D98" s="74"/>
      <c r="E98" s="72"/>
      <c r="F98" t="s">
        <v>65</v>
      </c>
      <c r="G98" s="1">
        <v>45232</v>
      </c>
      <c r="H98" t="s">
        <v>169</v>
      </c>
      <c r="I98" t="s">
        <v>68</v>
      </c>
      <c r="J98" t="s">
        <v>1</v>
      </c>
      <c r="K98" t="s">
        <v>2</v>
      </c>
      <c r="L98" t="s">
        <v>3</v>
      </c>
      <c r="M98" t="s">
        <v>4</v>
      </c>
      <c r="N98" s="2">
        <v>18060</v>
      </c>
      <c r="O98" s="2">
        <v>18137.404999999999</v>
      </c>
      <c r="P98" s="2">
        <v>15098.156000000001</v>
      </c>
      <c r="Q98" t="s">
        <v>75</v>
      </c>
      <c r="R98" t="s">
        <v>6</v>
      </c>
      <c r="S98" t="s">
        <v>66</v>
      </c>
      <c r="T98" t="s">
        <v>8</v>
      </c>
    </row>
    <row r="99" spans="1:20" x14ac:dyDescent="0.25">
      <c r="A99" s="74">
        <f>P99+P100+P101+P103+P102</f>
        <v>24889.502</v>
      </c>
      <c r="B99" s="74" t="str">
        <f>'Весы 02.11.2023'!I57</f>
        <v>24740</v>
      </c>
      <c r="C99" s="74" t="str">
        <f>'Весы 02.11.2023'!K57</f>
        <v>-20</v>
      </c>
      <c r="D99" s="74">
        <f>B99-C99</f>
        <v>24760</v>
      </c>
      <c r="E99" s="72">
        <f>A99-D99</f>
        <v>129.50200000000041</v>
      </c>
      <c r="F99" t="s">
        <v>44</v>
      </c>
      <c r="G99" s="1">
        <v>45232</v>
      </c>
      <c r="H99" t="s">
        <v>178</v>
      </c>
      <c r="I99" t="s">
        <v>93</v>
      </c>
      <c r="J99" t="s">
        <v>16</v>
      </c>
      <c r="K99" t="s">
        <v>17</v>
      </c>
      <c r="L99" t="s">
        <v>3</v>
      </c>
      <c r="M99" t="s">
        <v>4</v>
      </c>
      <c r="N99" s="2">
        <v>4800</v>
      </c>
      <c r="O99" s="2">
        <v>4823.0590000000002</v>
      </c>
      <c r="P99" s="2">
        <v>3614.4009999999998</v>
      </c>
      <c r="Q99" t="s">
        <v>73</v>
      </c>
      <c r="R99" t="s">
        <v>6</v>
      </c>
      <c r="S99" t="s">
        <v>45</v>
      </c>
      <c r="T99" t="s">
        <v>8</v>
      </c>
    </row>
    <row r="100" spans="1:20" x14ac:dyDescent="0.25">
      <c r="A100" s="74"/>
      <c r="B100" s="74"/>
      <c r="C100" s="74"/>
      <c r="D100" s="74"/>
      <c r="E100" s="72"/>
      <c r="F100" t="s">
        <v>44</v>
      </c>
      <c r="G100" s="1">
        <v>45232</v>
      </c>
      <c r="H100" t="s">
        <v>178</v>
      </c>
      <c r="I100" t="s">
        <v>150</v>
      </c>
      <c r="J100" t="s">
        <v>20</v>
      </c>
      <c r="K100" t="s">
        <v>21</v>
      </c>
      <c r="L100" t="s">
        <v>3</v>
      </c>
      <c r="M100" t="s">
        <v>4</v>
      </c>
      <c r="N100" s="2">
        <v>6200</v>
      </c>
      <c r="O100" s="2">
        <v>6210.4660000000003</v>
      </c>
      <c r="P100" s="2">
        <v>5214.2</v>
      </c>
      <c r="Q100" t="s">
        <v>55</v>
      </c>
      <c r="R100" t="s">
        <v>6</v>
      </c>
      <c r="S100" t="s">
        <v>45</v>
      </c>
      <c r="T100" t="s">
        <v>8</v>
      </c>
    </row>
    <row r="101" spans="1:20" x14ac:dyDescent="0.25">
      <c r="A101" s="74"/>
      <c r="B101" s="74"/>
      <c r="C101" s="74"/>
      <c r="D101" s="74"/>
      <c r="E101" s="72"/>
      <c r="F101" t="s">
        <v>44</v>
      </c>
      <c r="G101" s="1">
        <v>45232</v>
      </c>
      <c r="H101" t="s">
        <v>178</v>
      </c>
      <c r="I101" t="s">
        <v>130</v>
      </c>
      <c r="J101" t="s">
        <v>1</v>
      </c>
      <c r="K101" t="s">
        <v>2</v>
      </c>
      <c r="L101" t="s">
        <v>3</v>
      </c>
      <c r="M101" t="s">
        <v>4</v>
      </c>
      <c r="N101" s="2">
        <v>5700</v>
      </c>
      <c r="O101" s="2">
        <v>5714.4210000000003</v>
      </c>
      <c r="P101" s="2">
        <v>4799.3990000000003</v>
      </c>
      <c r="Q101" t="s">
        <v>51</v>
      </c>
      <c r="R101" t="s">
        <v>6</v>
      </c>
      <c r="S101" t="s">
        <v>45</v>
      </c>
      <c r="T101" t="s">
        <v>8</v>
      </c>
    </row>
    <row r="102" spans="1:20" x14ac:dyDescent="0.25">
      <c r="A102" s="74"/>
      <c r="B102" s="74"/>
      <c r="C102" s="74"/>
      <c r="D102" s="74"/>
      <c r="E102" s="72"/>
      <c r="F102" t="s">
        <v>44</v>
      </c>
      <c r="G102" s="1">
        <v>45232</v>
      </c>
      <c r="H102" t="s">
        <v>198</v>
      </c>
      <c r="I102" t="s">
        <v>93</v>
      </c>
      <c r="J102" t="s">
        <v>11</v>
      </c>
      <c r="K102" t="s">
        <v>12</v>
      </c>
      <c r="L102" t="s">
        <v>3</v>
      </c>
      <c r="M102" t="s">
        <v>4</v>
      </c>
      <c r="N102" s="2">
        <v>9700</v>
      </c>
      <c r="O102" s="2">
        <v>9746.5990000000002</v>
      </c>
      <c r="P102" s="2">
        <v>7304.1030000000001</v>
      </c>
      <c r="Q102" t="s">
        <v>73</v>
      </c>
      <c r="R102" t="s">
        <v>6</v>
      </c>
      <c r="S102" t="s">
        <v>45</v>
      </c>
      <c r="T102" t="s">
        <v>8</v>
      </c>
    </row>
    <row r="103" spans="1:20" x14ac:dyDescent="0.25">
      <c r="A103" s="74"/>
      <c r="B103" s="74"/>
      <c r="C103" s="74"/>
      <c r="D103" s="74"/>
      <c r="E103" s="72"/>
      <c r="F103" t="s">
        <v>44</v>
      </c>
      <c r="G103" s="1">
        <v>45232</v>
      </c>
      <c r="H103" t="s">
        <v>198</v>
      </c>
      <c r="I103" t="s">
        <v>130</v>
      </c>
      <c r="J103" t="s">
        <v>1</v>
      </c>
      <c r="K103" t="s">
        <v>2</v>
      </c>
      <c r="L103" t="s">
        <v>3</v>
      </c>
      <c r="M103" t="s">
        <v>4</v>
      </c>
      <c r="N103" s="2">
        <v>4700</v>
      </c>
      <c r="O103" s="2">
        <v>4711.8909999999996</v>
      </c>
      <c r="P103" s="2">
        <v>3957.3989999999999</v>
      </c>
      <c r="Q103" t="s">
        <v>51</v>
      </c>
      <c r="R103" t="s">
        <v>6</v>
      </c>
      <c r="S103" t="s">
        <v>45</v>
      </c>
      <c r="T103" t="s">
        <v>8</v>
      </c>
    </row>
    <row r="104" spans="1:20" x14ac:dyDescent="0.25">
      <c r="A104" s="74">
        <f>P104+P105+P106</f>
        <v>25297.555</v>
      </c>
      <c r="B104" s="74" t="str">
        <f>'Весы 02.11.2023'!I52</f>
        <v>25250</v>
      </c>
      <c r="C104" s="70" t="str">
        <f>'Весы 02.11.2023'!K52</f>
        <v>-47</v>
      </c>
      <c r="D104" s="74">
        <f t="shared" ref="D104" si="68">B104-C104</f>
        <v>25297</v>
      </c>
      <c r="E104" s="72">
        <f t="shared" ref="E104" si="69">A104-D104</f>
        <v>0.55500000000029104</v>
      </c>
      <c r="F104" t="s">
        <v>13</v>
      </c>
      <c r="G104" s="1">
        <v>45232</v>
      </c>
      <c r="H104" t="s">
        <v>193</v>
      </c>
      <c r="I104" t="s">
        <v>43</v>
      </c>
      <c r="J104" t="s">
        <v>16</v>
      </c>
      <c r="K104" t="s">
        <v>17</v>
      </c>
      <c r="L104" t="s">
        <v>3</v>
      </c>
      <c r="M104" t="s">
        <v>4</v>
      </c>
      <c r="N104" s="2">
        <v>6960</v>
      </c>
      <c r="O104" s="2">
        <v>6993.777</v>
      </c>
      <c r="P104" s="2">
        <v>5206.0820000000003</v>
      </c>
      <c r="Q104" t="s">
        <v>73</v>
      </c>
      <c r="R104" t="s">
        <v>6</v>
      </c>
      <c r="S104" t="s">
        <v>14</v>
      </c>
      <c r="T104" t="s">
        <v>8</v>
      </c>
    </row>
    <row r="105" spans="1:20" x14ac:dyDescent="0.25">
      <c r="A105" s="74"/>
      <c r="B105" s="74"/>
      <c r="C105" s="71"/>
      <c r="D105" s="74"/>
      <c r="E105" s="72"/>
      <c r="F105" t="s">
        <v>13</v>
      </c>
      <c r="G105" s="1">
        <v>45232</v>
      </c>
      <c r="H105" t="s">
        <v>193</v>
      </c>
      <c r="I105" t="s">
        <v>26</v>
      </c>
      <c r="J105" t="s">
        <v>11</v>
      </c>
      <c r="K105" t="s">
        <v>12</v>
      </c>
      <c r="L105" t="s">
        <v>3</v>
      </c>
      <c r="M105" t="s">
        <v>4</v>
      </c>
      <c r="N105" s="2">
        <v>11345</v>
      </c>
      <c r="O105" s="2">
        <v>11399.887000000001</v>
      </c>
      <c r="P105" s="2">
        <v>8503.0789999999997</v>
      </c>
      <c r="Q105" t="s">
        <v>73</v>
      </c>
      <c r="R105" t="s">
        <v>6</v>
      </c>
      <c r="S105" t="s">
        <v>14</v>
      </c>
      <c r="T105" t="s">
        <v>8</v>
      </c>
    </row>
    <row r="106" spans="1:20" x14ac:dyDescent="0.25">
      <c r="A106" s="74"/>
      <c r="B106" s="74"/>
      <c r="C106" s="71"/>
      <c r="D106" s="74"/>
      <c r="E106" s="72"/>
      <c r="F106" t="s">
        <v>13</v>
      </c>
      <c r="G106" s="1">
        <v>45232</v>
      </c>
      <c r="H106" t="s">
        <v>193</v>
      </c>
      <c r="I106" t="s">
        <v>67</v>
      </c>
      <c r="J106" t="s">
        <v>1</v>
      </c>
      <c r="K106" t="s">
        <v>2</v>
      </c>
      <c r="L106" t="s">
        <v>3</v>
      </c>
      <c r="M106" t="s">
        <v>4</v>
      </c>
      <c r="N106" s="2">
        <v>13920</v>
      </c>
      <c r="O106" s="2">
        <v>13943.956</v>
      </c>
      <c r="P106" s="2">
        <v>11588.394</v>
      </c>
      <c r="Q106" t="s">
        <v>55</v>
      </c>
      <c r="R106" t="s">
        <v>6</v>
      </c>
      <c r="S106" t="s">
        <v>14</v>
      </c>
      <c r="T106" t="s">
        <v>8</v>
      </c>
    </row>
    <row r="107" spans="1:20" x14ac:dyDescent="0.25">
      <c r="A107" s="74">
        <f>P107+P108</f>
        <v>24397.469000000001</v>
      </c>
      <c r="B107" s="74" t="str">
        <f>'Весы 02.11.2023'!I54</f>
        <v>24210</v>
      </c>
      <c r="C107" s="70" t="str">
        <f>'Весы 02.11.2023'!K54</f>
        <v>-31</v>
      </c>
      <c r="D107" s="74">
        <f t="shared" ref="D107" si="70">B107-C107</f>
        <v>24241</v>
      </c>
      <c r="E107" s="72">
        <f t="shared" ref="E107" si="71">A107-D107</f>
        <v>156.46900000000096</v>
      </c>
      <c r="F107" t="s">
        <v>131</v>
      </c>
      <c r="G107" s="1">
        <v>45232</v>
      </c>
      <c r="H107" t="s">
        <v>203</v>
      </c>
      <c r="I107" t="s">
        <v>68</v>
      </c>
      <c r="J107" t="s">
        <v>1</v>
      </c>
      <c r="K107" t="s">
        <v>2</v>
      </c>
      <c r="L107" t="s">
        <v>3</v>
      </c>
      <c r="M107" t="s">
        <v>4</v>
      </c>
      <c r="N107" s="2">
        <v>15390</v>
      </c>
      <c r="O107" s="2">
        <v>15455.962</v>
      </c>
      <c r="P107" s="2">
        <v>12866.037</v>
      </c>
      <c r="Q107" t="s">
        <v>75</v>
      </c>
      <c r="R107" t="s">
        <v>6</v>
      </c>
      <c r="S107" t="s">
        <v>132</v>
      </c>
      <c r="T107" t="s">
        <v>8</v>
      </c>
    </row>
    <row r="108" spans="1:20" x14ac:dyDescent="0.25">
      <c r="A108" s="74"/>
      <c r="B108" s="74"/>
      <c r="C108" s="71"/>
      <c r="D108" s="74"/>
      <c r="E108" s="72"/>
      <c r="F108" t="s">
        <v>131</v>
      </c>
      <c r="G108" s="1">
        <v>45232</v>
      </c>
      <c r="H108" t="s">
        <v>203</v>
      </c>
      <c r="I108" t="s">
        <v>88</v>
      </c>
      <c r="J108" t="s">
        <v>11</v>
      </c>
      <c r="K108" t="s">
        <v>12</v>
      </c>
      <c r="L108" t="s">
        <v>3</v>
      </c>
      <c r="M108" t="s">
        <v>4</v>
      </c>
      <c r="N108" s="2">
        <v>15365</v>
      </c>
      <c r="O108" s="2">
        <v>15439.182000000001</v>
      </c>
      <c r="P108" s="2">
        <v>11531.432000000001</v>
      </c>
      <c r="Q108" t="s">
        <v>73</v>
      </c>
      <c r="R108" t="s">
        <v>6</v>
      </c>
      <c r="S108" t="s">
        <v>132</v>
      </c>
      <c r="T108" t="s">
        <v>8</v>
      </c>
    </row>
    <row r="109" spans="1:20" x14ac:dyDescent="0.25">
      <c r="A109" s="74">
        <f>P109+P110+P111</f>
        <v>25068.780999999999</v>
      </c>
      <c r="B109" s="74" t="str">
        <f>'Весы 02.11.2023'!I55</f>
        <v>24930</v>
      </c>
      <c r="C109" s="70" t="str">
        <f>'Весы 02.11.2023'!K55</f>
        <v>-20</v>
      </c>
      <c r="D109" s="74">
        <f t="shared" ref="D109" si="72">B109-C109</f>
        <v>24950</v>
      </c>
      <c r="E109" s="72">
        <f t="shared" ref="E109" si="73">A109-D109</f>
        <v>118.78099999999904</v>
      </c>
      <c r="F109" t="s">
        <v>18</v>
      </c>
      <c r="G109" s="1">
        <v>45232</v>
      </c>
      <c r="H109" t="s">
        <v>57</v>
      </c>
      <c r="I109" t="s">
        <v>10</v>
      </c>
      <c r="J109" t="s">
        <v>11</v>
      </c>
      <c r="K109" t="s">
        <v>12</v>
      </c>
      <c r="L109" t="s">
        <v>3</v>
      </c>
      <c r="M109" t="s">
        <v>4</v>
      </c>
      <c r="N109" s="2">
        <v>7665</v>
      </c>
      <c r="O109" s="2">
        <v>7701.93</v>
      </c>
      <c r="P109" s="2">
        <v>5760.2460000000001</v>
      </c>
      <c r="Q109" t="s">
        <v>73</v>
      </c>
      <c r="R109" t="s">
        <v>6</v>
      </c>
      <c r="S109" t="s">
        <v>19</v>
      </c>
      <c r="T109" t="s">
        <v>8</v>
      </c>
    </row>
    <row r="110" spans="1:20" x14ac:dyDescent="0.25">
      <c r="A110" s="74"/>
      <c r="B110" s="74"/>
      <c r="C110" s="71"/>
      <c r="D110" s="74"/>
      <c r="E110" s="72"/>
      <c r="F110" t="s">
        <v>18</v>
      </c>
      <c r="G110" s="1">
        <v>45232</v>
      </c>
      <c r="H110" t="s">
        <v>57</v>
      </c>
      <c r="I110" t="s">
        <v>74</v>
      </c>
      <c r="J110" t="s">
        <v>20</v>
      </c>
      <c r="K110" t="s">
        <v>21</v>
      </c>
      <c r="L110" t="s">
        <v>3</v>
      </c>
      <c r="M110" t="s">
        <v>4</v>
      </c>
      <c r="N110" s="2">
        <v>7680</v>
      </c>
      <c r="O110" s="2">
        <v>7706.0119999999997</v>
      </c>
      <c r="P110" s="2">
        <v>6455.0379999999996</v>
      </c>
      <c r="Q110" t="s">
        <v>73</v>
      </c>
      <c r="R110" t="s">
        <v>6</v>
      </c>
      <c r="S110" t="s">
        <v>19</v>
      </c>
      <c r="T110" t="s">
        <v>8</v>
      </c>
    </row>
    <row r="111" spans="1:20" x14ac:dyDescent="0.25">
      <c r="A111" s="74"/>
      <c r="B111" s="74"/>
      <c r="C111" s="71"/>
      <c r="D111" s="74"/>
      <c r="E111" s="72"/>
      <c r="F111" t="s">
        <v>18</v>
      </c>
      <c r="G111" s="1">
        <v>45232</v>
      </c>
      <c r="H111" t="s">
        <v>57</v>
      </c>
      <c r="I111" t="s">
        <v>68</v>
      </c>
      <c r="J111" t="s">
        <v>1</v>
      </c>
      <c r="K111" t="s">
        <v>2</v>
      </c>
      <c r="L111" t="s">
        <v>3</v>
      </c>
      <c r="M111" t="s">
        <v>4</v>
      </c>
      <c r="N111" s="2">
        <v>15375</v>
      </c>
      <c r="O111" s="2">
        <v>15440.897000000001</v>
      </c>
      <c r="P111" s="2">
        <v>12853.496999999999</v>
      </c>
      <c r="Q111" t="s">
        <v>75</v>
      </c>
      <c r="R111" t="s">
        <v>6</v>
      </c>
      <c r="S111" t="s">
        <v>19</v>
      </c>
      <c r="T111" t="s">
        <v>8</v>
      </c>
    </row>
    <row r="112" spans="1:20" x14ac:dyDescent="0.25">
      <c r="A112" s="74">
        <f>P112+P113+P114</f>
        <v>19561.275000000001</v>
      </c>
      <c r="B112" s="74" t="str">
        <f>'Весы 02.11.2023'!I70</f>
        <v>19550</v>
      </c>
      <c r="C112" s="70" t="str">
        <f>'Весы 02.11.2023'!K70</f>
        <v>-24</v>
      </c>
      <c r="D112" s="74">
        <f t="shared" ref="D112" si="74">B112-C112</f>
        <v>19574</v>
      </c>
      <c r="E112" s="72">
        <f t="shared" ref="E112" si="75">A112-D112</f>
        <v>-12.724999999998545</v>
      </c>
      <c r="F112" t="s">
        <v>22</v>
      </c>
      <c r="G112" s="1">
        <v>45232</v>
      </c>
      <c r="H112" t="s">
        <v>195</v>
      </c>
      <c r="I112" t="s">
        <v>43</v>
      </c>
      <c r="J112" t="s">
        <v>11</v>
      </c>
      <c r="K112" t="s">
        <v>12</v>
      </c>
      <c r="L112" t="s">
        <v>3</v>
      </c>
      <c r="M112" t="s">
        <v>4</v>
      </c>
      <c r="N112" s="2">
        <v>6050</v>
      </c>
      <c r="O112" s="2">
        <v>6079.3609999999999</v>
      </c>
      <c r="P112" s="2">
        <v>4525.402</v>
      </c>
      <c r="Q112" t="s">
        <v>73</v>
      </c>
      <c r="R112" t="s">
        <v>23</v>
      </c>
      <c r="S112" t="s">
        <v>24</v>
      </c>
      <c r="T112" t="s">
        <v>8</v>
      </c>
    </row>
    <row r="113" spans="1:20" x14ac:dyDescent="0.25">
      <c r="A113" s="74"/>
      <c r="B113" s="74"/>
      <c r="C113" s="71"/>
      <c r="D113" s="74"/>
      <c r="E113" s="72"/>
      <c r="F113" t="s">
        <v>22</v>
      </c>
      <c r="G113" s="1">
        <v>45232</v>
      </c>
      <c r="H113" t="s">
        <v>195</v>
      </c>
      <c r="I113" t="s">
        <v>52</v>
      </c>
      <c r="J113" t="s">
        <v>20</v>
      </c>
      <c r="K113" t="s">
        <v>21</v>
      </c>
      <c r="L113" t="s">
        <v>3</v>
      </c>
      <c r="M113" t="s">
        <v>4</v>
      </c>
      <c r="N113" s="2">
        <v>4050</v>
      </c>
      <c r="O113" s="2">
        <v>4056.8890000000001</v>
      </c>
      <c r="P113" s="2">
        <v>3391.875</v>
      </c>
      <c r="Q113" t="s">
        <v>55</v>
      </c>
      <c r="R113" t="s">
        <v>23</v>
      </c>
      <c r="S113" t="s">
        <v>24</v>
      </c>
      <c r="T113" t="s">
        <v>8</v>
      </c>
    </row>
    <row r="114" spans="1:20" x14ac:dyDescent="0.25">
      <c r="A114" s="74"/>
      <c r="B114" s="74"/>
      <c r="C114" s="71"/>
      <c r="D114" s="74"/>
      <c r="E114" s="72"/>
      <c r="F114" t="s">
        <v>22</v>
      </c>
      <c r="G114" s="1">
        <v>45232</v>
      </c>
      <c r="H114" t="s">
        <v>195</v>
      </c>
      <c r="I114" t="s">
        <v>38</v>
      </c>
      <c r="J114" t="s">
        <v>1</v>
      </c>
      <c r="K114" t="s">
        <v>2</v>
      </c>
      <c r="L114" t="s">
        <v>3</v>
      </c>
      <c r="M114" t="s">
        <v>4</v>
      </c>
      <c r="N114" s="2">
        <v>13970</v>
      </c>
      <c r="O114" s="2">
        <v>14006.043</v>
      </c>
      <c r="P114" s="2">
        <v>11643.998</v>
      </c>
      <c r="Q114" t="s">
        <v>51</v>
      </c>
      <c r="R114" t="s">
        <v>23</v>
      </c>
      <c r="S114" t="s">
        <v>24</v>
      </c>
      <c r="T114" t="s">
        <v>8</v>
      </c>
    </row>
    <row r="115" spans="1:20" x14ac:dyDescent="0.25">
      <c r="A115" s="74">
        <f>SUM(P115:P121)</f>
        <v>26244</v>
      </c>
      <c r="B115" s="74" t="s">
        <v>1446</v>
      </c>
      <c r="C115" s="70"/>
      <c r="D115" s="74"/>
      <c r="E115" s="70"/>
      <c r="F115" t="s">
        <v>86</v>
      </c>
      <c r="G115" s="1">
        <v>45232</v>
      </c>
      <c r="H115" t="s">
        <v>248</v>
      </c>
      <c r="I115" t="s">
        <v>250</v>
      </c>
      <c r="J115" t="s">
        <v>116</v>
      </c>
      <c r="K115" t="s">
        <v>117</v>
      </c>
      <c r="L115" t="s">
        <v>3</v>
      </c>
      <c r="M115" t="s">
        <v>4</v>
      </c>
      <c r="N115" s="2">
        <v>4898</v>
      </c>
      <c r="O115" s="2">
        <v>4878.53</v>
      </c>
      <c r="P115" s="2">
        <v>3655</v>
      </c>
      <c r="Q115" t="s">
        <v>140</v>
      </c>
      <c r="R115" t="s">
        <v>23</v>
      </c>
      <c r="S115" t="s">
        <v>87</v>
      </c>
      <c r="T115" t="s">
        <v>8</v>
      </c>
    </row>
    <row r="116" spans="1:20" x14ac:dyDescent="0.25">
      <c r="A116" s="74"/>
      <c r="B116" s="74"/>
      <c r="C116" s="71"/>
      <c r="D116" s="74"/>
      <c r="E116" s="71"/>
      <c r="F116" t="s">
        <v>86</v>
      </c>
      <c r="G116" s="1">
        <v>45232</v>
      </c>
      <c r="H116" t="s">
        <v>248</v>
      </c>
      <c r="I116" t="s">
        <v>106</v>
      </c>
      <c r="J116" t="s">
        <v>116</v>
      </c>
      <c r="K116" t="s">
        <v>117</v>
      </c>
      <c r="L116" t="s">
        <v>3</v>
      </c>
      <c r="M116" t="s">
        <v>4</v>
      </c>
      <c r="N116" s="2">
        <v>5898</v>
      </c>
      <c r="O116" s="2">
        <v>5852.4849999999997</v>
      </c>
      <c r="P116" s="2">
        <v>4385</v>
      </c>
      <c r="Q116" t="s">
        <v>249</v>
      </c>
      <c r="R116" t="s">
        <v>23</v>
      </c>
      <c r="S116" t="s">
        <v>87</v>
      </c>
      <c r="T116" t="s">
        <v>8</v>
      </c>
    </row>
    <row r="117" spans="1:20" x14ac:dyDescent="0.25">
      <c r="A117" s="74"/>
      <c r="B117" s="74"/>
      <c r="C117" s="71"/>
      <c r="D117" s="74"/>
      <c r="E117" s="71"/>
      <c r="F117" t="s">
        <v>86</v>
      </c>
      <c r="G117" s="1">
        <v>45232</v>
      </c>
      <c r="H117" t="s">
        <v>183</v>
      </c>
      <c r="I117" t="s">
        <v>184</v>
      </c>
      <c r="J117" t="s">
        <v>116</v>
      </c>
      <c r="K117" t="s">
        <v>117</v>
      </c>
      <c r="L117" t="s">
        <v>3</v>
      </c>
      <c r="M117" t="s">
        <v>4</v>
      </c>
      <c r="N117" s="2">
        <v>3897</v>
      </c>
      <c r="O117" s="2">
        <v>3862.703</v>
      </c>
      <c r="P117" s="2">
        <v>2895</v>
      </c>
      <c r="Q117" t="s">
        <v>170</v>
      </c>
      <c r="R117" t="s">
        <v>23</v>
      </c>
      <c r="S117" t="s">
        <v>87</v>
      </c>
      <c r="T117" t="s">
        <v>8</v>
      </c>
    </row>
    <row r="118" spans="1:20" x14ac:dyDescent="0.25">
      <c r="A118" s="74"/>
      <c r="B118" s="74"/>
      <c r="C118" s="71"/>
      <c r="D118" s="74"/>
      <c r="E118" s="71"/>
      <c r="F118" t="s">
        <v>86</v>
      </c>
      <c r="G118" s="1">
        <v>45232</v>
      </c>
      <c r="H118" t="s">
        <v>235</v>
      </c>
      <c r="I118" t="s">
        <v>236</v>
      </c>
      <c r="J118" t="s">
        <v>116</v>
      </c>
      <c r="K118" t="s">
        <v>117</v>
      </c>
      <c r="L118" t="s">
        <v>3</v>
      </c>
      <c r="M118" t="s">
        <v>4</v>
      </c>
      <c r="N118" s="2">
        <v>6900</v>
      </c>
      <c r="O118" s="2">
        <v>6837.6170000000002</v>
      </c>
      <c r="P118" s="2">
        <v>5125</v>
      </c>
      <c r="Q118" t="s">
        <v>162</v>
      </c>
      <c r="R118" t="s">
        <v>23</v>
      </c>
      <c r="S118" t="s">
        <v>87</v>
      </c>
      <c r="T118" t="s">
        <v>8</v>
      </c>
    </row>
    <row r="119" spans="1:20" x14ac:dyDescent="0.25">
      <c r="A119" s="74"/>
      <c r="B119" s="74"/>
      <c r="C119" s="71"/>
      <c r="D119" s="74"/>
      <c r="E119" s="71"/>
      <c r="F119" t="s">
        <v>86</v>
      </c>
      <c r="G119" s="1">
        <v>45232</v>
      </c>
      <c r="H119" t="s">
        <v>263</v>
      </c>
      <c r="I119" t="s">
        <v>184</v>
      </c>
      <c r="J119" t="s">
        <v>116</v>
      </c>
      <c r="K119" t="s">
        <v>117</v>
      </c>
      <c r="L119" t="s">
        <v>3</v>
      </c>
      <c r="M119" t="s">
        <v>4</v>
      </c>
      <c r="N119" s="2">
        <v>1898</v>
      </c>
      <c r="O119" s="2">
        <v>1880.6179999999999</v>
      </c>
      <c r="P119" s="2">
        <v>1410</v>
      </c>
      <c r="Q119" t="s">
        <v>163</v>
      </c>
      <c r="R119" t="s">
        <v>23</v>
      </c>
      <c r="S119" t="s">
        <v>87</v>
      </c>
      <c r="T119" t="s">
        <v>8</v>
      </c>
    </row>
    <row r="120" spans="1:20" x14ac:dyDescent="0.25">
      <c r="A120" s="74"/>
      <c r="B120" s="74"/>
      <c r="C120" s="71"/>
      <c r="D120" s="74"/>
      <c r="E120" s="71"/>
      <c r="F120" t="s">
        <v>86</v>
      </c>
      <c r="G120" s="1">
        <v>45232</v>
      </c>
      <c r="H120" t="s">
        <v>237</v>
      </c>
      <c r="I120" t="s">
        <v>136</v>
      </c>
      <c r="J120" t="s">
        <v>116</v>
      </c>
      <c r="K120" t="s">
        <v>117</v>
      </c>
      <c r="L120" t="s">
        <v>3</v>
      </c>
      <c r="M120" t="s">
        <v>4</v>
      </c>
      <c r="N120" s="2">
        <v>2897</v>
      </c>
      <c r="O120" s="2">
        <v>2871.866</v>
      </c>
      <c r="P120" s="2">
        <v>2153</v>
      </c>
      <c r="Q120" t="s">
        <v>238</v>
      </c>
      <c r="R120" t="s">
        <v>23</v>
      </c>
      <c r="S120" t="s">
        <v>87</v>
      </c>
      <c r="T120" t="s">
        <v>8</v>
      </c>
    </row>
    <row r="121" spans="1:20" x14ac:dyDescent="0.25">
      <c r="A121" s="74"/>
      <c r="B121" s="74"/>
      <c r="C121" s="71"/>
      <c r="D121" s="74"/>
      <c r="E121" s="71"/>
      <c r="F121" t="s">
        <v>86</v>
      </c>
      <c r="G121" s="1">
        <v>45232</v>
      </c>
      <c r="H121" t="s">
        <v>206</v>
      </c>
      <c r="I121" t="s">
        <v>207</v>
      </c>
      <c r="J121" t="s">
        <v>116</v>
      </c>
      <c r="K121" t="s">
        <v>117</v>
      </c>
      <c r="L121" t="s">
        <v>3</v>
      </c>
      <c r="M121" t="s">
        <v>4</v>
      </c>
      <c r="N121" s="2">
        <v>8900</v>
      </c>
      <c r="O121" s="2">
        <v>8832.44</v>
      </c>
      <c r="P121" s="2">
        <v>6621</v>
      </c>
      <c r="Q121" t="s">
        <v>208</v>
      </c>
      <c r="R121" t="s">
        <v>23</v>
      </c>
      <c r="S121" t="s">
        <v>87</v>
      </c>
      <c r="T121" t="s">
        <v>8</v>
      </c>
    </row>
    <row r="122" spans="1:20" x14ac:dyDescent="0.25">
      <c r="A122" s="74">
        <f t="shared" ref="A122" si="76">P122+P123+P124+P125</f>
        <v>24586.663999999997</v>
      </c>
      <c r="B122" s="74" t="str">
        <f>'Весы 02.11.2023'!I67</f>
        <v>24420</v>
      </c>
      <c r="C122" s="70" t="str">
        <f>'Весы 02.11.2023'!K67</f>
        <v>-43</v>
      </c>
      <c r="D122" s="74">
        <f>B122-C122</f>
        <v>24463</v>
      </c>
      <c r="E122" s="72">
        <f>A122-D122</f>
        <v>123.66399999999703</v>
      </c>
      <c r="F122" t="s">
        <v>5</v>
      </c>
      <c r="G122" s="1">
        <v>45232</v>
      </c>
      <c r="H122" t="s">
        <v>214</v>
      </c>
      <c r="I122" t="s">
        <v>93</v>
      </c>
      <c r="J122" t="s">
        <v>16</v>
      </c>
      <c r="K122" t="s">
        <v>17</v>
      </c>
      <c r="L122" t="s">
        <v>3</v>
      </c>
      <c r="M122" t="s">
        <v>4</v>
      </c>
      <c r="N122" s="2">
        <v>7695</v>
      </c>
      <c r="O122" s="2">
        <v>7731.9669999999996</v>
      </c>
      <c r="P122" s="2">
        <v>5794.3370000000004</v>
      </c>
      <c r="Q122" t="s">
        <v>73</v>
      </c>
      <c r="R122" t="s">
        <v>6</v>
      </c>
      <c r="S122" t="s">
        <v>102</v>
      </c>
      <c r="T122" t="s">
        <v>8</v>
      </c>
    </row>
    <row r="123" spans="1:20" x14ac:dyDescent="0.25">
      <c r="A123" s="74"/>
      <c r="B123" s="74"/>
      <c r="C123" s="71"/>
      <c r="D123" s="74"/>
      <c r="E123" s="72"/>
      <c r="F123" t="s">
        <v>5</v>
      </c>
      <c r="G123" s="1">
        <v>45232</v>
      </c>
      <c r="H123" t="s">
        <v>214</v>
      </c>
      <c r="I123" t="s">
        <v>141</v>
      </c>
      <c r="J123" t="s">
        <v>11</v>
      </c>
      <c r="K123" t="s">
        <v>12</v>
      </c>
      <c r="L123" t="s">
        <v>3</v>
      </c>
      <c r="M123" t="s">
        <v>4</v>
      </c>
      <c r="N123" s="2">
        <v>7715</v>
      </c>
      <c r="O123" s="2">
        <v>7742.7280000000001</v>
      </c>
      <c r="P123" s="2">
        <v>5813.2529999999997</v>
      </c>
      <c r="Q123" t="s">
        <v>51</v>
      </c>
      <c r="R123" t="s">
        <v>6</v>
      </c>
      <c r="S123" t="s">
        <v>102</v>
      </c>
      <c r="T123" t="s">
        <v>8</v>
      </c>
    </row>
    <row r="124" spans="1:20" x14ac:dyDescent="0.25">
      <c r="A124" s="74"/>
      <c r="B124" s="74"/>
      <c r="C124" s="71"/>
      <c r="D124" s="74"/>
      <c r="E124" s="72"/>
      <c r="F124" t="s">
        <v>5</v>
      </c>
      <c r="G124" s="1">
        <v>45232</v>
      </c>
      <c r="H124" t="s">
        <v>214</v>
      </c>
      <c r="I124" t="s">
        <v>130</v>
      </c>
      <c r="J124" t="s">
        <v>20</v>
      </c>
      <c r="K124" t="s">
        <v>21</v>
      </c>
      <c r="L124" t="s">
        <v>3</v>
      </c>
      <c r="M124" t="s">
        <v>4</v>
      </c>
      <c r="N124" s="2">
        <v>7695</v>
      </c>
      <c r="O124" s="2">
        <v>7707.9660000000003</v>
      </c>
      <c r="P124" s="2">
        <v>6479.1880000000001</v>
      </c>
      <c r="Q124" t="s">
        <v>55</v>
      </c>
      <c r="R124" t="s">
        <v>6</v>
      </c>
      <c r="S124" t="s">
        <v>102</v>
      </c>
      <c r="T124" t="s">
        <v>8</v>
      </c>
    </row>
    <row r="125" spans="1:20" x14ac:dyDescent="0.25">
      <c r="A125" s="74"/>
      <c r="B125" s="74"/>
      <c r="C125" s="71"/>
      <c r="D125" s="74"/>
      <c r="E125" s="72"/>
      <c r="F125" t="s">
        <v>5</v>
      </c>
      <c r="G125" s="1">
        <v>45232</v>
      </c>
      <c r="H125" t="s">
        <v>214</v>
      </c>
      <c r="I125" t="s">
        <v>142</v>
      </c>
      <c r="J125" t="s">
        <v>1</v>
      </c>
      <c r="K125" t="s">
        <v>2</v>
      </c>
      <c r="L125" t="s">
        <v>3</v>
      </c>
      <c r="M125" t="s">
        <v>4</v>
      </c>
      <c r="N125" s="2">
        <v>7715</v>
      </c>
      <c r="O125" s="2">
        <v>7721.4880000000003</v>
      </c>
      <c r="P125" s="2">
        <v>6499.8860000000004</v>
      </c>
      <c r="Q125" t="s">
        <v>49</v>
      </c>
      <c r="R125" t="s">
        <v>6</v>
      </c>
      <c r="S125" t="s">
        <v>102</v>
      </c>
      <c r="T125" t="s">
        <v>8</v>
      </c>
    </row>
    <row r="126" spans="1:20" x14ac:dyDescent="0.25">
      <c r="A126" s="74">
        <f t="shared" ref="A126" si="77">P126+P127+P128+P129</f>
        <v>25956.310999999998</v>
      </c>
      <c r="B126" s="74" t="str">
        <f>'Весы 02.11.2023'!I68</f>
        <v>25760</v>
      </c>
      <c r="C126" s="70" t="str">
        <f>'Весы 02.11.2023'!K68</f>
        <v>-39</v>
      </c>
      <c r="D126" s="74">
        <f>B126-C126</f>
        <v>25799</v>
      </c>
      <c r="E126" s="72">
        <f>A126-D126</f>
        <v>157.31099999999788</v>
      </c>
      <c r="F126" t="s">
        <v>65</v>
      </c>
      <c r="G126" s="1">
        <v>45232</v>
      </c>
      <c r="H126" t="s">
        <v>237</v>
      </c>
      <c r="I126" t="s">
        <v>93</v>
      </c>
      <c r="J126" t="s">
        <v>16</v>
      </c>
      <c r="K126" t="s">
        <v>17</v>
      </c>
      <c r="L126" t="s">
        <v>3</v>
      </c>
      <c r="M126" t="s">
        <v>4</v>
      </c>
      <c r="N126" s="2">
        <v>4375</v>
      </c>
      <c r="O126" s="2">
        <v>4396.0169999999998</v>
      </c>
      <c r="P126" s="2">
        <v>3294.3760000000002</v>
      </c>
      <c r="Q126" t="s">
        <v>73</v>
      </c>
      <c r="R126" t="s">
        <v>6</v>
      </c>
      <c r="S126" t="s">
        <v>66</v>
      </c>
      <c r="T126" t="s">
        <v>8</v>
      </c>
    </row>
    <row r="127" spans="1:20" x14ac:dyDescent="0.25">
      <c r="A127" s="74"/>
      <c r="B127" s="74"/>
      <c r="C127" s="71"/>
      <c r="D127" s="74"/>
      <c r="E127" s="72"/>
      <c r="F127" t="s">
        <v>65</v>
      </c>
      <c r="G127" s="1">
        <v>45232</v>
      </c>
      <c r="H127" t="s">
        <v>237</v>
      </c>
      <c r="I127" t="s">
        <v>148</v>
      </c>
      <c r="J127" t="s">
        <v>11</v>
      </c>
      <c r="K127" t="s">
        <v>12</v>
      </c>
      <c r="L127" t="s">
        <v>3</v>
      </c>
      <c r="M127" t="s">
        <v>4</v>
      </c>
      <c r="N127" s="2">
        <v>6980</v>
      </c>
      <c r="O127" s="2">
        <v>7013.56</v>
      </c>
      <c r="P127" s="2">
        <v>5252.4470000000001</v>
      </c>
      <c r="Q127" t="s">
        <v>73</v>
      </c>
      <c r="R127" t="s">
        <v>6</v>
      </c>
      <c r="S127" t="s">
        <v>66</v>
      </c>
      <c r="T127" t="s">
        <v>8</v>
      </c>
    </row>
    <row r="128" spans="1:20" x14ac:dyDescent="0.25">
      <c r="A128" s="74"/>
      <c r="B128" s="74"/>
      <c r="C128" s="71"/>
      <c r="D128" s="74"/>
      <c r="E128" s="72"/>
      <c r="F128" t="s">
        <v>65</v>
      </c>
      <c r="G128" s="1">
        <v>45232</v>
      </c>
      <c r="H128" t="s">
        <v>237</v>
      </c>
      <c r="I128" t="s">
        <v>142</v>
      </c>
      <c r="J128" t="s">
        <v>20</v>
      </c>
      <c r="K128" t="s">
        <v>21</v>
      </c>
      <c r="L128" t="s">
        <v>3</v>
      </c>
      <c r="M128" t="s">
        <v>4</v>
      </c>
      <c r="N128" s="2">
        <v>13975</v>
      </c>
      <c r="O128" s="2">
        <v>13986.753000000001</v>
      </c>
      <c r="P128" s="2">
        <v>11773.933999999999</v>
      </c>
      <c r="Q128" t="s">
        <v>49</v>
      </c>
      <c r="R128" t="s">
        <v>6</v>
      </c>
      <c r="S128" t="s">
        <v>66</v>
      </c>
      <c r="T128" t="s">
        <v>8</v>
      </c>
    </row>
    <row r="129" spans="1:20" x14ac:dyDescent="0.25">
      <c r="A129" s="74"/>
      <c r="B129" s="74"/>
      <c r="C129" s="71"/>
      <c r="D129" s="74"/>
      <c r="E129" s="72"/>
      <c r="F129" t="s">
        <v>65</v>
      </c>
      <c r="G129" s="1">
        <v>45232</v>
      </c>
      <c r="H129" t="s">
        <v>237</v>
      </c>
      <c r="I129" t="s">
        <v>74</v>
      </c>
      <c r="J129" t="s">
        <v>124</v>
      </c>
      <c r="K129" t="s">
        <v>125</v>
      </c>
      <c r="L129" t="s">
        <v>3</v>
      </c>
      <c r="M129" t="s">
        <v>4</v>
      </c>
      <c r="N129" s="2">
        <v>6705</v>
      </c>
      <c r="O129" s="2">
        <v>6722.0110000000004</v>
      </c>
      <c r="P129" s="2">
        <v>5635.5540000000001</v>
      </c>
      <c r="Q129" t="s">
        <v>51</v>
      </c>
      <c r="R129" t="s">
        <v>6</v>
      </c>
      <c r="S129" t="s">
        <v>66</v>
      </c>
      <c r="T129" t="s">
        <v>8</v>
      </c>
    </row>
    <row r="130" spans="1:20" x14ac:dyDescent="0.25">
      <c r="A130" s="74">
        <f>P130+P131+P132</f>
        <v>25166.927999999996</v>
      </c>
      <c r="B130" s="74" t="str">
        <f>'Весы 02.11.2023'!I69</f>
        <v>25040</v>
      </c>
      <c r="C130" s="70" t="str">
        <f>'Весы 02.11.2023'!K69</f>
        <v>-4</v>
      </c>
      <c r="D130" s="74">
        <f t="shared" ref="D130" si="78">B130-C130</f>
        <v>25044</v>
      </c>
      <c r="E130" s="72">
        <f t="shared" ref="E130" si="79">A130-D130</f>
        <v>122.92799999999625</v>
      </c>
      <c r="F130" t="s">
        <v>131</v>
      </c>
      <c r="G130" s="1">
        <v>45232</v>
      </c>
      <c r="H130" t="s">
        <v>151</v>
      </c>
      <c r="I130" t="s">
        <v>109</v>
      </c>
      <c r="J130" t="s">
        <v>16</v>
      </c>
      <c r="K130" t="s">
        <v>17</v>
      </c>
      <c r="L130" t="s">
        <v>3</v>
      </c>
      <c r="M130" t="s">
        <v>4</v>
      </c>
      <c r="N130" s="2">
        <v>7670</v>
      </c>
      <c r="O130" s="2">
        <v>7706.9160000000002</v>
      </c>
      <c r="P130" s="2">
        <v>5767.8379999999997</v>
      </c>
      <c r="Q130" t="s">
        <v>73</v>
      </c>
      <c r="R130" t="s">
        <v>6</v>
      </c>
      <c r="S130" t="s">
        <v>132</v>
      </c>
      <c r="T130" t="s">
        <v>8</v>
      </c>
    </row>
    <row r="131" spans="1:20" x14ac:dyDescent="0.25">
      <c r="A131" s="74"/>
      <c r="B131" s="74"/>
      <c r="C131" s="71"/>
      <c r="D131" s="74"/>
      <c r="E131" s="72"/>
      <c r="F131" t="s">
        <v>131</v>
      </c>
      <c r="G131" s="1">
        <v>45232</v>
      </c>
      <c r="H131" t="s">
        <v>151</v>
      </c>
      <c r="I131" t="s">
        <v>74</v>
      </c>
      <c r="J131" t="s">
        <v>1</v>
      </c>
      <c r="K131" t="s">
        <v>2</v>
      </c>
      <c r="L131" t="s">
        <v>3</v>
      </c>
      <c r="M131" t="s">
        <v>4</v>
      </c>
      <c r="N131" s="2">
        <v>15390</v>
      </c>
      <c r="O131" s="2">
        <v>15442.126</v>
      </c>
      <c r="P131" s="2">
        <v>12935.291999999999</v>
      </c>
      <c r="Q131" t="s">
        <v>73</v>
      </c>
      <c r="R131" t="s">
        <v>6</v>
      </c>
      <c r="S131" t="s">
        <v>132</v>
      </c>
      <c r="T131" t="s">
        <v>8</v>
      </c>
    </row>
    <row r="132" spans="1:20" x14ac:dyDescent="0.25">
      <c r="A132" s="74"/>
      <c r="B132" s="74"/>
      <c r="C132" s="71"/>
      <c r="D132" s="74"/>
      <c r="E132" s="72"/>
      <c r="F132" t="s">
        <v>131</v>
      </c>
      <c r="G132" s="1">
        <v>45232</v>
      </c>
      <c r="H132" t="s">
        <v>151</v>
      </c>
      <c r="I132" t="s">
        <v>94</v>
      </c>
      <c r="J132" t="s">
        <v>124</v>
      </c>
      <c r="K132" t="s">
        <v>125</v>
      </c>
      <c r="L132" t="s">
        <v>3</v>
      </c>
      <c r="M132" t="s">
        <v>4</v>
      </c>
      <c r="N132" s="2">
        <v>7695</v>
      </c>
      <c r="O132" s="2">
        <v>7721.0940000000001</v>
      </c>
      <c r="P132" s="2">
        <v>6463.7979999999998</v>
      </c>
      <c r="Q132" t="s">
        <v>73</v>
      </c>
      <c r="R132" t="s">
        <v>6</v>
      </c>
      <c r="S132" t="s">
        <v>132</v>
      </c>
      <c r="T132" t="s">
        <v>8</v>
      </c>
    </row>
    <row r="133" spans="1:20" x14ac:dyDescent="0.25">
      <c r="A133" s="74">
        <f>P133+P134+P135</f>
        <v>24485.173999999999</v>
      </c>
      <c r="B133" s="74" t="str">
        <f>'Весы 02.11.2023'!I71</f>
        <v>24320</v>
      </c>
      <c r="C133" s="70" t="str">
        <f>'Весы 02.11.2023'!K71</f>
        <v>-15</v>
      </c>
      <c r="D133" s="74">
        <f t="shared" ref="D133" si="80">B133-C133</f>
        <v>24335</v>
      </c>
      <c r="E133" s="72">
        <f t="shared" ref="E133" si="81">A133-D133</f>
        <v>150.17399999999907</v>
      </c>
      <c r="F133" t="s">
        <v>18</v>
      </c>
      <c r="G133" s="1">
        <v>45232</v>
      </c>
      <c r="H133" t="s">
        <v>206</v>
      </c>
      <c r="I133" t="s">
        <v>109</v>
      </c>
      <c r="J133" t="s">
        <v>11</v>
      </c>
      <c r="K133" t="s">
        <v>12</v>
      </c>
      <c r="L133" t="s">
        <v>3</v>
      </c>
      <c r="M133" t="s">
        <v>4</v>
      </c>
      <c r="N133" s="2">
        <v>15345</v>
      </c>
      <c r="O133" s="2">
        <v>15418.855</v>
      </c>
      <c r="P133" s="2">
        <v>11539.436</v>
      </c>
      <c r="Q133" t="s">
        <v>73</v>
      </c>
      <c r="R133" t="s">
        <v>6</v>
      </c>
      <c r="S133" t="s">
        <v>19</v>
      </c>
      <c r="T133" t="s">
        <v>8</v>
      </c>
    </row>
    <row r="134" spans="1:20" x14ac:dyDescent="0.25">
      <c r="A134" s="74"/>
      <c r="B134" s="74"/>
      <c r="C134" s="71"/>
      <c r="D134" s="74"/>
      <c r="E134" s="72"/>
      <c r="F134" t="s">
        <v>18</v>
      </c>
      <c r="G134" s="1">
        <v>45232</v>
      </c>
      <c r="H134" t="s">
        <v>206</v>
      </c>
      <c r="I134" t="s">
        <v>142</v>
      </c>
      <c r="J134" t="s">
        <v>20</v>
      </c>
      <c r="K134" t="s">
        <v>21</v>
      </c>
      <c r="L134" t="s">
        <v>3</v>
      </c>
      <c r="M134" t="s">
        <v>4</v>
      </c>
      <c r="N134" s="2">
        <v>7675</v>
      </c>
      <c r="O134" s="2">
        <v>7700.8950000000004</v>
      </c>
      <c r="P134" s="2">
        <v>6466.1890000000003</v>
      </c>
      <c r="Q134" t="s">
        <v>73</v>
      </c>
      <c r="R134" t="s">
        <v>6</v>
      </c>
      <c r="S134" t="s">
        <v>19</v>
      </c>
      <c r="T134" t="s">
        <v>8</v>
      </c>
    </row>
    <row r="135" spans="1:20" x14ac:dyDescent="0.25">
      <c r="A135" s="74"/>
      <c r="B135" s="74"/>
      <c r="C135" s="71"/>
      <c r="D135" s="74"/>
      <c r="E135" s="72"/>
      <c r="F135" t="s">
        <v>18</v>
      </c>
      <c r="G135" s="1">
        <v>45232</v>
      </c>
      <c r="H135" t="s">
        <v>206</v>
      </c>
      <c r="I135" t="s">
        <v>166</v>
      </c>
      <c r="J135" t="s">
        <v>1</v>
      </c>
      <c r="K135" t="s">
        <v>2</v>
      </c>
      <c r="L135" t="s">
        <v>3</v>
      </c>
      <c r="M135" t="s">
        <v>4</v>
      </c>
      <c r="N135" s="2">
        <v>7700</v>
      </c>
      <c r="O135" s="2">
        <v>7719.4960000000001</v>
      </c>
      <c r="P135" s="2">
        <v>6479.549</v>
      </c>
      <c r="Q135" t="s">
        <v>51</v>
      </c>
      <c r="R135" t="s">
        <v>6</v>
      </c>
      <c r="S135" t="s">
        <v>19</v>
      </c>
      <c r="T135" t="s">
        <v>8</v>
      </c>
    </row>
    <row r="136" spans="1:20" x14ac:dyDescent="0.25">
      <c r="A136" s="74">
        <f>P136+P137+P138</f>
        <v>19722.534</v>
      </c>
      <c r="B136" s="74" t="str">
        <f>'Весы 02.11.2023'!I51</f>
        <v>19580</v>
      </c>
      <c r="C136" s="74" t="str">
        <f>'Весы 02.11.2023'!K70</f>
        <v>-24</v>
      </c>
      <c r="D136" s="74">
        <f t="shared" ref="D136" si="82">B136-C136</f>
        <v>19604</v>
      </c>
      <c r="E136" s="72">
        <f t="shared" ref="E136" si="83">A136-D136</f>
        <v>118.53399999999965</v>
      </c>
      <c r="F136" t="s">
        <v>22</v>
      </c>
      <c r="G136" s="1">
        <v>45232</v>
      </c>
      <c r="H136" t="s">
        <v>194</v>
      </c>
      <c r="I136" t="s">
        <v>109</v>
      </c>
      <c r="J136" t="s">
        <v>11</v>
      </c>
      <c r="K136" t="s">
        <v>12</v>
      </c>
      <c r="L136" t="s">
        <v>3</v>
      </c>
      <c r="M136" t="s">
        <v>4</v>
      </c>
      <c r="N136" s="2">
        <v>6050</v>
      </c>
      <c r="O136" s="2">
        <v>6079.1189999999997</v>
      </c>
      <c r="P136" s="2">
        <v>4549.598</v>
      </c>
      <c r="Q136" t="s">
        <v>73</v>
      </c>
      <c r="R136" t="s">
        <v>23</v>
      </c>
      <c r="S136" t="s">
        <v>24</v>
      </c>
      <c r="T136" t="s">
        <v>8</v>
      </c>
    </row>
    <row r="137" spans="1:20" x14ac:dyDescent="0.25">
      <c r="A137" s="74"/>
      <c r="B137" s="74"/>
      <c r="C137" s="74"/>
      <c r="D137" s="74"/>
      <c r="E137" s="72"/>
      <c r="F137" t="s">
        <v>22</v>
      </c>
      <c r="G137" s="1">
        <v>45232</v>
      </c>
      <c r="H137" t="s">
        <v>194</v>
      </c>
      <c r="I137" t="s">
        <v>130</v>
      </c>
      <c r="J137" t="s">
        <v>1</v>
      </c>
      <c r="K137" t="s">
        <v>2</v>
      </c>
      <c r="L137" t="s">
        <v>3</v>
      </c>
      <c r="M137" t="s">
        <v>4</v>
      </c>
      <c r="N137" s="2">
        <v>13070</v>
      </c>
      <c r="O137" s="2">
        <v>13114.124</v>
      </c>
      <c r="P137" s="2">
        <v>11004.936</v>
      </c>
      <c r="Q137" t="s">
        <v>73</v>
      </c>
      <c r="R137" t="s">
        <v>23</v>
      </c>
      <c r="S137" t="s">
        <v>24</v>
      </c>
      <c r="T137" t="s">
        <v>8</v>
      </c>
    </row>
    <row r="138" spans="1:20" x14ac:dyDescent="0.25">
      <c r="A138" s="74"/>
      <c r="B138" s="74"/>
      <c r="C138" s="74"/>
      <c r="D138" s="74"/>
      <c r="E138" s="72"/>
      <c r="F138" t="s">
        <v>22</v>
      </c>
      <c r="G138" s="1"/>
      <c r="H138" t="s">
        <v>1442</v>
      </c>
      <c r="I138" t="s">
        <v>130</v>
      </c>
      <c r="K138" t="s">
        <v>2</v>
      </c>
      <c r="N138" s="2"/>
      <c r="P138" s="2">
        <v>4168</v>
      </c>
    </row>
    <row r="139" spans="1:20" x14ac:dyDescent="0.25">
      <c r="A139" s="74">
        <f>P139+P140+P141+P142</f>
        <v>25926.883000000002</v>
      </c>
      <c r="B139" s="74" t="str">
        <f>'Весы 02.11.2023'!I66</f>
        <v>25780</v>
      </c>
      <c r="C139" s="70" t="str">
        <f>'Весы 02.11.2023'!K66</f>
        <v>-28</v>
      </c>
      <c r="D139" s="74">
        <f>B139-C139</f>
        <v>25808</v>
      </c>
      <c r="E139" s="72">
        <f>A139-D139</f>
        <v>118.88300000000163</v>
      </c>
      <c r="F139" t="s">
        <v>46</v>
      </c>
      <c r="G139" s="1">
        <v>45232</v>
      </c>
      <c r="H139" t="s">
        <v>218</v>
      </c>
      <c r="I139" t="s">
        <v>93</v>
      </c>
      <c r="J139" t="s">
        <v>16</v>
      </c>
      <c r="K139" t="s">
        <v>17</v>
      </c>
      <c r="L139" t="s">
        <v>3</v>
      </c>
      <c r="M139" t="s">
        <v>4</v>
      </c>
      <c r="N139" s="2">
        <v>6405</v>
      </c>
      <c r="O139" s="2">
        <v>6435.77</v>
      </c>
      <c r="P139" s="2">
        <v>4822.9669999999996</v>
      </c>
      <c r="Q139" t="s">
        <v>73</v>
      </c>
      <c r="R139" t="s">
        <v>23</v>
      </c>
      <c r="S139" t="s">
        <v>47</v>
      </c>
      <c r="T139" t="s">
        <v>8</v>
      </c>
    </row>
    <row r="140" spans="1:20" x14ac:dyDescent="0.25">
      <c r="A140" s="74"/>
      <c r="B140" s="74"/>
      <c r="C140" s="71"/>
      <c r="D140" s="74"/>
      <c r="E140" s="72"/>
      <c r="F140" t="s">
        <v>46</v>
      </c>
      <c r="G140" s="1">
        <v>45232</v>
      </c>
      <c r="H140" t="s">
        <v>218</v>
      </c>
      <c r="I140" t="s">
        <v>141</v>
      </c>
      <c r="J140" t="s">
        <v>11</v>
      </c>
      <c r="K140" t="s">
        <v>12</v>
      </c>
      <c r="L140" t="s">
        <v>3</v>
      </c>
      <c r="M140" t="s">
        <v>4</v>
      </c>
      <c r="N140" s="2">
        <v>6490</v>
      </c>
      <c r="O140" s="2">
        <v>6513.3249999999998</v>
      </c>
      <c r="P140" s="2">
        <v>4890.2160000000003</v>
      </c>
      <c r="Q140" t="s">
        <v>51</v>
      </c>
      <c r="R140" t="s">
        <v>23</v>
      </c>
      <c r="S140" t="s">
        <v>47</v>
      </c>
      <c r="T140" t="s">
        <v>8</v>
      </c>
    </row>
    <row r="141" spans="1:20" x14ac:dyDescent="0.25">
      <c r="A141" s="74"/>
      <c r="B141" s="74"/>
      <c r="C141" s="71"/>
      <c r="D141" s="74"/>
      <c r="E141" s="72"/>
      <c r="F141" t="s">
        <v>46</v>
      </c>
      <c r="G141" s="1">
        <v>45232</v>
      </c>
      <c r="H141" t="s">
        <v>218</v>
      </c>
      <c r="I141" t="s">
        <v>166</v>
      </c>
      <c r="J141" t="s">
        <v>20</v>
      </c>
      <c r="K141" t="s">
        <v>21</v>
      </c>
      <c r="L141" t="s">
        <v>3</v>
      </c>
      <c r="M141" t="s">
        <v>4</v>
      </c>
      <c r="N141" s="2">
        <v>6445</v>
      </c>
      <c r="O141" s="2">
        <v>6455.8729999999996</v>
      </c>
      <c r="P141" s="2">
        <v>5423.4690000000001</v>
      </c>
      <c r="Q141" t="s">
        <v>55</v>
      </c>
      <c r="R141" t="s">
        <v>23</v>
      </c>
      <c r="S141" t="s">
        <v>47</v>
      </c>
      <c r="T141" t="s">
        <v>8</v>
      </c>
    </row>
    <row r="142" spans="1:20" x14ac:dyDescent="0.25">
      <c r="A142" s="74"/>
      <c r="B142" s="74"/>
      <c r="C142" s="71"/>
      <c r="D142" s="74"/>
      <c r="E142" s="72"/>
      <c r="F142" t="s">
        <v>46</v>
      </c>
      <c r="G142" s="1">
        <v>45232</v>
      </c>
      <c r="H142" t="s">
        <v>218</v>
      </c>
      <c r="I142" t="s">
        <v>130</v>
      </c>
      <c r="J142" t="s">
        <v>1</v>
      </c>
      <c r="K142" t="s">
        <v>2</v>
      </c>
      <c r="L142" t="s">
        <v>3</v>
      </c>
      <c r="M142" t="s">
        <v>4</v>
      </c>
      <c r="N142" s="2">
        <v>12815</v>
      </c>
      <c r="O142" s="2">
        <v>12825.79</v>
      </c>
      <c r="P142" s="2">
        <v>10790.231</v>
      </c>
      <c r="Q142" t="s">
        <v>49</v>
      </c>
      <c r="R142" t="s">
        <v>23</v>
      </c>
      <c r="S142" t="s">
        <v>47</v>
      </c>
      <c r="T142" t="s">
        <v>8</v>
      </c>
    </row>
    <row r="143" spans="1:20" x14ac:dyDescent="0.25">
      <c r="A143" s="163" t="s">
        <v>1466</v>
      </c>
      <c r="B143" s="163"/>
      <c r="C143" s="170"/>
      <c r="D143" s="163"/>
      <c r="E143" s="171">
        <f>SUM(E72:E142)</f>
        <v>2326.0649999999914</v>
      </c>
      <c r="F143" s="165"/>
      <c r="G143" s="166"/>
      <c r="H143" s="165"/>
      <c r="I143" s="165"/>
      <c r="J143" s="165"/>
      <c r="K143" s="165"/>
      <c r="L143" s="165"/>
      <c r="M143" s="165"/>
      <c r="N143" s="167"/>
      <c r="O143" s="167"/>
      <c r="P143" s="167"/>
      <c r="Q143" s="165"/>
      <c r="R143" s="165"/>
      <c r="S143" s="165"/>
      <c r="T143" s="165"/>
    </row>
    <row r="144" spans="1:20" x14ac:dyDescent="0.25">
      <c r="A144" s="172"/>
      <c r="B144" s="172"/>
      <c r="C144" s="173"/>
      <c r="D144" s="172"/>
      <c r="E144" s="174"/>
      <c r="F144" s="165"/>
      <c r="G144" s="166"/>
      <c r="H144" s="165"/>
      <c r="I144" s="165"/>
      <c r="J144" s="165"/>
      <c r="K144" s="165"/>
      <c r="L144" s="165"/>
      <c r="M144" s="165"/>
      <c r="N144" s="167"/>
      <c r="O144" s="167"/>
      <c r="P144" s="167"/>
      <c r="Q144" s="165"/>
      <c r="R144" s="165"/>
      <c r="S144" s="165"/>
      <c r="T144" s="165"/>
    </row>
    <row r="145" spans="1:20" x14ac:dyDescent="0.25">
      <c r="A145" s="168"/>
      <c r="B145" s="168"/>
      <c r="C145" s="175"/>
      <c r="D145" s="168"/>
      <c r="E145" s="176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</row>
    <row r="146" spans="1:20" x14ac:dyDescent="0.25">
      <c r="A146" s="74">
        <f>P147+P148+P146</f>
        <v>25757.375999999997</v>
      </c>
      <c r="B146" s="74" t="str">
        <f>'Весы 03.11.2023'!I55</f>
        <v>25720</v>
      </c>
      <c r="C146" s="74" t="str">
        <f>'Весы 03.11.2023'!K55</f>
        <v>-37</v>
      </c>
      <c r="D146" s="74">
        <f t="shared" ref="D146" si="84">B146-C146</f>
        <v>25757</v>
      </c>
      <c r="E146" s="74">
        <f t="shared" ref="E146" si="85">A146-D146</f>
        <v>0.37599999999656575</v>
      </c>
      <c r="F146" t="s">
        <v>131</v>
      </c>
      <c r="G146" s="1">
        <v>45233</v>
      </c>
      <c r="H146" t="s">
        <v>181</v>
      </c>
      <c r="I146" t="s">
        <v>95</v>
      </c>
      <c r="J146" t="s">
        <v>1</v>
      </c>
      <c r="K146" t="s">
        <v>2</v>
      </c>
      <c r="L146" t="s">
        <v>3</v>
      </c>
      <c r="M146" t="s">
        <v>4</v>
      </c>
      <c r="N146" s="2">
        <v>15365</v>
      </c>
      <c r="O146" s="2">
        <v>15391.166999999999</v>
      </c>
      <c r="P146" s="2">
        <v>12860.504999999999</v>
      </c>
      <c r="Q146" t="s">
        <v>55</v>
      </c>
      <c r="R146" t="s">
        <v>6</v>
      </c>
      <c r="S146" t="s">
        <v>132</v>
      </c>
      <c r="T146" t="s">
        <v>8</v>
      </c>
    </row>
    <row r="147" spans="1:20" x14ac:dyDescent="0.25">
      <c r="A147" s="74"/>
      <c r="B147" s="74" t="e">
        <f>'Весы 03.11.2023'!I55:J55</f>
        <v>#VALUE!</v>
      </c>
      <c r="C147" s="74"/>
      <c r="D147" s="74"/>
      <c r="E147" s="74"/>
      <c r="F147" t="s">
        <v>131</v>
      </c>
      <c r="G147" s="1">
        <v>45233</v>
      </c>
      <c r="H147" t="s">
        <v>182</v>
      </c>
      <c r="I147" t="s">
        <v>90</v>
      </c>
      <c r="J147" t="s">
        <v>20</v>
      </c>
      <c r="K147" t="s">
        <v>21</v>
      </c>
      <c r="L147" t="s">
        <v>3</v>
      </c>
      <c r="M147" t="s">
        <v>4</v>
      </c>
      <c r="N147" s="2">
        <v>7720</v>
      </c>
      <c r="O147" s="2">
        <v>7733.085</v>
      </c>
      <c r="P147" s="2">
        <v>6477.0810000000001</v>
      </c>
      <c r="Q147" t="s">
        <v>55</v>
      </c>
      <c r="R147" t="s">
        <v>6</v>
      </c>
      <c r="S147" t="s">
        <v>132</v>
      </c>
      <c r="T147" t="s">
        <v>8</v>
      </c>
    </row>
    <row r="148" spans="1:20" x14ac:dyDescent="0.25">
      <c r="A148" s="74"/>
      <c r="B148" s="74"/>
      <c r="C148" s="74"/>
      <c r="D148" s="74"/>
      <c r="E148" s="74"/>
      <c r="F148" t="s">
        <v>131</v>
      </c>
      <c r="G148" s="1">
        <v>45233</v>
      </c>
      <c r="H148" t="s">
        <v>182</v>
      </c>
      <c r="I148" t="s">
        <v>95</v>
      </c>
      <c r="J148" t="s">
        <v>1</v>
      </c>
      <c r="K148" t="s">
        <v>2</v>
      </c>
      <c r="L148" t="s">
        <v>3</v>
      </c>
      <c r="M148" t="s">
        <v>4</v>
      </c>
      <c r="N148" s="2">
        <v>7670</v>
      </c>
      <c r="O148" s="2">
        <v>7683.0619999999999</v>
      </c>
      <c r="P148" s="2">
        <v>6419.79</v>
      </c>
      <c r="Q148" t="s">
        <v>55</v>
      </c>
      <c r="R148" t="s">
        <v>6</v>
      </c>
      <c r="S148" t="s">
        <v>132</v>
      </c>
      <c r="T148" t="s">
        <v>8</v>
      </c>
    </row>
    <row r="149" spans="1:20" x14ac:dyDescent="0.25">
      <c r="A149" s="74">
        <f>P149+P150+P151+P152</f>
        <v>25927.423000000003</v>
      </c>
      <c r="B149" s="74" t="str">
        <f>'Весы 03.11.2023'!I61</f>
        <v>25900</v>
      </c>
      <c r="C149" s="70" t="str">
        <f>'Весы 03.11.2023'!K61</f>
        <v>-27</v>
      </c>
      <c r="D149" s="74">
        <f>B149-C149</f>
        <v>25927</v>
      </c>
      <c r="E149" s="74">
        <f>A149-D149</f>
        <v>0.42300000000250293</v>
      </c>
      <c r="F149" t="s">
        <v>13</v>
      </c>
      <c r="G149" s="1">
        <v>45233</v>
      </c>
      <c r="H149" t="s">
        <v>179</v>
      </c>
      <c r="I149" t="s">
        <v>26</v>
      </c>
      <c r="J149" t="s">
        <v>16</v>
      </c>
      <c r="K149" t="s">
        <v>17</v>
      </c>
      <c r="L149" t="s">
        <v>3</v>
      </c>
      <c r="M149" t="s">
        <v>4</v>
      </c>
      <c r="N149" s="2">
        <v>4380</v>
      </c>
      <c r="O149" s="2">
        <v>4395.8689999999997</v>
      </c>
      <c r="P149" s="2">
        <v>3282.81</v>
      </c>
      <c r="Q149" t="s">
        <v>51</v>
      </c>
      <c r="R149" t="s">
        <v>6</v>
      </c>
      <c r="S149" t="s">
        <v>14</v>
      </c>
      <c r="T149" t="s">
        <v>8</v>
      </c>
    </row>
    <row r="150" spans="1:20" x14ac:dyDescent="0.25">
      <c r="A150" s="74"/>
      <c r="B150" s="74"/>
      <c r="C150" s="71"/>
      <c r="D150" s="74"/>
      <c r="E150" s="74"/>
      <c r="F150" t="s">
        <v>13</v>
      </c>
      <c r="G150" s="1">
        <v>45233</v>
      </c>
      <c r="H150" t="s">
        <v>179</v>
      </c>
      <c r="I150" t="s">
        <v>128</v>
      </c>
      <c r="J150" t="s">
        <v>11</v>
      </c>
      <c r="K150" t="s">
        <v>12</v>
      </c>
      <c r="L150" t="s">
        <v>3</v>
      </c>
      <c r="M150" t="s">
        <v>4</v>
      </c>
      <c r="N150" s="2">
        <v>6965</v>
      </c>
      <c r="O150" s="2">
        <v>6981.8689999999997</v>
      </c>
      <c r="P150" s="2">
        <v>5206.3389999999999</v>
      </c>
      <c r="Q150" t="s">
        <v>55</v>
      </c>
      <c r="R150" t="s">
        <v>6</v>
      </c>
      <c r="S150" t="s">
        <v>14</v>
      </c>
      <c r="T150" t="s">
        <v>8</v>
      </c>
    </row>
    <row r="151" spans="1:20" x14ac:dyDescent="0.25">
      <c r="A151" s="74"/>
      <c r="B151" s="74"/>
      <c r="C151" s="71"/>
      <c r="D151" s="74"/>
      <c r="E151" s="74"/>
      <c r="F151" t="s">
        <v>13</v>
      </c>
      <c r="G151" s="1">
        <v>45233</v>
      </c>
      <c r="H151" t="s">
        <v>179</v>
      </c>
      <c r="I151" t="s">
        <v>139</v>
      </c>
      <c r="J151" t="s">
        <v>20</v>
      </c>
      <c r="K151" t="s">
        <v>21</v>
      </c>
      <c r="L151" t="s">
        <v>3</v>
      </c>
      <c r="M151" t="s">
        <v>4</v>
      </c>
      <c r="N151" s="2">
        <v>6960</v>
      </c>
      <c r="O151" s="2">
        <v>6965.8950000000004</v>
      </c>
      <c r="P151" s="2">
        <v>5835.9589999999998</v>
      </c>
      <c r="Q151" t="s">
        <v>49</v>
      </c>
      <c r="R151" t="s">
        <v>6</v>
      </c>
      <c r="S151" t="s">
        <v>14</v>
      </c>
      <c r="T151" t="s">
        <v>8</v>
      </c>
    </row>
    <row r="152" spans="1:20" x14ac:dyDescent="0.25">
      <c r="A152" s="74"/>
      <c r="B152" s="74"/>
      <c r="C152" s="71"/>
      <c r="D152" s="74"/>
      <c r="E152" s="74"/>
      <c r="F152" t="s">
        <v>13</v>
      </c>
      <c r="G152" s="1">
        <v>45233</v>
      </c>
      <c r="H152" t="s">
        <v>179</v>
      </c>
      <c r="I152" t="s">
        <v>38</v>
      </c>
      <c r="J152" t="s">
        <v>1</v>
      </c>
      <c r="K152" t="s">
        <v>2</v>
      </c>
      <c r="L152" t="s">
        <v>3</v>
      </c>
      <c r="M152" t="s">
        <v>4</v>
      </c>
      <c r="N152" s="2">
        <v>13920</v>
      </c>
      <c r="O152" s="2">
        <v>13931.929</v>
      </c>
      <c r="P152" s="2">
        <v>11602.315000000001</v>
      </c>
      <c r="Q152" t="s">
        <v>49</v>
      </c>
      <c r="R152" t="s">
        <v>6</v>
      </c>
      <c r="S152" t="s">
        <v>14</v>
      </c>
      <c r="T152" t="s">
        <v>8</v>
      </c>
    </row>
    <row r="153" spans="1:20" x14ac:dyDescent="0.25">
      <c r="A153" s="74">
        <f>P153+P154+P155+P156</f>
        <v>25528.300000000003</v>
      </c>
      <c r="B153" s="74" t="str">
        <f>'Весы 03.11.2023'!I67</f>
        <v>25490</v>
      </c>
      <c r="C153" s="70" t="str">
        <f>'Весы 03.11.2023'!K67</f>
        <v>-38</v>
      </c>
      <c r="D153" s="74">
        <f>B153-C153</f>
        <v>25528</v>
      </c>
      <c r="E153" s="74">
        <f>A153-D153</f>
        <v>0.30000000000291038</v>
      </c>
      <c r="F153" t="s">
        <v>44</v>
      </c>
      <c r="G153" s="1">
        <v>45233</v>
      </c>
      <c r="H153" t="s">
        <v>189</v>
      </c>
      <c r="I153" t="s">
        <v>42</v>
      </c>
      <c r="J153" t="s">
        <v>11</v>
      </c>
      <c r="K153" t="s">
        <v>12</v>
      </c>
      <c r="L153" t="s">
        <v>3</v>
      </c>
      <c r="M153" t="s">
        <v>4</v>
      </c>
      <c r="N153" s="2">
        <v>4700</v>
      </c>
      <c r="O153" s="2">
        <v>4717.0469999999996</v>
      </c>
      <c r="P153" s="2">
        <v>3520.3009999999999</v>
      </c>
      <c r="Q153" t="s">
        <v>51</v>
      </c>
      <c r="R153" t="s">
        <v>6</v>
      </c>
      <c r="S153" t="s">
        <v>45</v>
      </c>
      <c r="T153" t="s">
        <v>8</v>
      </c>
    </row>
    <row r="154" spans="1:20" x14ac:dyDescent="0.25">
      <c r="A154" s="74"/>
      <c r="B154" s="74"/>
      <c r="C154" s="71"/>
      <c r="D154" s="74"/>
      <c r="E154" s="74"/>
      <c r="F154" t="s">
        <v>44</v>
      </c>
      <c r="G154" s="1">
        <v>45233</v>
      </c>
      <c r="H154" t="s">
        <v>189</v>
      </c>
      <c r="I154" t="s">
        <v>63</v>
      </c>
      <c r="J154" t="s">
        <v>1</v>
      </c>
      <c r="K154" t="s">
        <v>2</v>
      </c>
      <c r="L154" t="s">
        <v>3</v>
      </c>
      <c r="M154" t="s">
        <v>4</v>
      </c>
      <c r="N154" s="2">
        <v>9700</v>
      </c>
      <c r="O154" s="2">
        <v>9700</v>
      </c>
      <c r="P154" s="2">
        <v>8080.1</v>
      </c>
      <c r="Q154" t="s">
        <v>39</v>
      </c>
      <c r="R154" t="s">
        <v>6</v>
      </c>
      <c r="S154" t="s">
        <v>45</v>
      </c>
      <c r="T154" t="s">
        <v>8</v>
      </c>
    </row>
    <row r="155" spans="1:20" x14ac:dyDescent="0.25">
      <c r="A155" s="74"/>
      <c r="B155" s="74"/>
      <c r="C155" s="71"/>
      <c r="D155" s="74"/>
      <c r="E155" s="74"/>
      <c r="F155" t="s">
        <v>44</v>
      </c>
      <c r="G155" s="1">
        <v>45233</v>
      </c>
      <c r="H155" t="s">
        <v>229</v>
      </c>
      <c r="I155" t="s">
        <v>129</v>
      </c>
      <c r="J155" t="s">
        <v>20</v>
      </c>
      <c r="K155" t="s">
        <v>21</v>
      </c>
      <c r="L155" t="s">
        <v>3</v>
      </c>
      <c r="M155" t="s">
        <v>4</v>
      </c>
      <c r="N155" s="2">
        <v>4800</v>
      </c>
      <c r="O155" s="2">
        <v>4812.2929999999997</v>
      </c>
      <c r="P155" s="2">
        <v>4015.1990000000001</v>
      </c>
      <c r="Q155" t="s">
        <v>51</v>
      </c>
      <c r="R155" t="s">
        <v>6</v>
      </c>
      <c r="S155" t="s">
        <v>45</v>
      </c>
      <c r="T155" t="s">
        <v>8</v>
      </c>
    </row>
    <row r="156" spans="1:20" x14ac:dyDescent="0.25">
      <c r="A156" s="74"/>
      <c r="B156" s="74"/>
      <c r="C156" s="71"/>
      <c r="D156" s="74"/>
      <c r="E156" s="74"/>
      <c r="F156" t="s">
        <v>44</v>
      </c>
      <c r="G156" s="1">
        <v>45233</v>
      </c>
      <c r="H156" t="s">
        <v>229</v>
      </c>
      <c r="I156" t="s">
        <v>63</v>
      </c>
      <c r="J156" t="s">
        <v>1</v>
      </c>
      <c r="K156" t="s">
        <v>2</v>
      </c>
      <c r="L156" t="s">
        <v>3</v>
      </c>
      <c r="M156" t="s">
        <v>4</v>
      </c>
      <c r="N156" s="2">
        <v>11900</v>
      </c>
      <c r="O156" s="2">
        <v>11900</v>
      </c>
      <c r="P156" s="2">
        <v>9912.7000000000007</v>
      </c>
      <c r="Q156" t="s">
        <v>39</v>
      </c>
      <c r="R156" t="s">
        <v>6</v>
      </c>
      <c r="S156" t="s">
        <v>45</v>
      </c>
      <c r="T156" t="s">
        <v>8</v>
      </c>
    </row>
    <row r="157" spans="1:20" x14ac:dyDescent="0.25">
      <c r="A157" s="74">
        <f>P157+P158+P159</f>
        <v>26202.135000000002</v>
      </c>
      <c r="B157" s="74" t="str">
        <f>'Весы 03.11.2023'!I53</f>
        <v>26150</v>
      </c>
      <c r="C157" s="70" t="str">
        <f>'Весы 03.11.2023'!K53</f>
        <v>-52</v>
      </c>
      <c r="D157" s="74">
        <f t="shared" ref="D157" si="86">B157-C157</f>
        <v>26202</v>
      </c>
      <c r="E157" s="74">
        <f t="shared" ref="E157" si="87">A157-D157</f>
        <v>0.13500000000203727</v>
      </c>
      <c r="F157" t="s">
        <v>65</v>
      </c>
      <c r="G157" s="1">
        <v>45233</v>
      </c>
      <c r="H157" t="s">
        <v>235</v>
      </c>
      <c r="I157" t="s">
        <v>43</v>
      </c>
      <c r="J157" t="s">
        <v>11</v>
      </c>
      <c r="K157" t="s">
        <v>12</v>
      </c>
      <c r="L157" t="s">
        <v>3</v>
      </c>
      <c r="M157" t="s">
        <v>4</v>
      </c>
      <c r="N157" s="2">
        <v>6980</v>
      </c>
      <c r="O157" s="2">
        <v>7005.3649999999998</v>
      </c>
      <c r="P157" s="2">
        <v>5221.0389999999998</v>
      </c>
      <c r="Q157" t="s">
        <v>51</v>
      </c>
      <c r="R157" t="s">
        <v>6</v>
      </c>
      <c r="S157" t="s">
        <v>66</v>
      </c>
      <c r="T157" t="s">
        <v>8</v>
      </c>
    </row>
    <row r="158" spans="1:20" x14ac:dyDescent="0.25">
      <c r="A158" s="74"/>
      <c r="B158" s="74"/>
      <c r="C158" s="71"/>
      <c r="D158" s="74"/>
      <c r="E158" s="74"/>
      <c r="F158" t="s">
        <v>65</v>
      </c>
      <c r="G158" s="1">
        <v>45233</v>
      </c>
      <c r="H158" t="s">
        <v>235</v>
      </c>
      <c r="I158" t="s">
        <v>139</v>
      </c>
      <c r="J158" t="s">
        <v>20</v>
      </c>
      <c r="K158" t="s">
        <v>21</v>
      </c>
      <c r="L158" t="s">
        <v>3</v>
      </c>
      <c r="M158" t="s">
        <v>4</v>
      </c>
      <c r="N158" s="2">
        <v>6705</v>
      </c>
      <c r="O158" s="2">
        <v>6722.0910000000003</v>
      </c>
      <c r="P158" s="2">
        <v>5622.143</v>
      </c>
      <c r="Q158" t="s">
        <v>51</v>
      </c>
      <c r="R158" t="s">
        <v>6</v>
      </c>
      <c r="S158" t="s">
        <v>66</v>
      </c>
      <c r="T158" t="s">
        <v>8</v>
      </c>
    </row>
    <row r="159" spans="1:20" x14ac:dyDescent="0.25">
      <c r="A159" s="74"/>
      <c r="B159" s="74"/>
      <c r="C159" s="71"/>
      <c r="D159" s="74"/>
      <c r="E159" s="74"/>
      <c r="F159" t="s">
        <v>65</v>
      </c>
      <c r="G159" s="1">
        <v>45233</v>
      </c>
      <c r="H159" t="s">
        <v>235</v>
      </c>
      <c r="I159" t="s">
        <v>95</v>
      </c>
      <c r="J159" t="s">
        <v>1</v>
      </c>
      <c r="K159" t="s">
        <v>2</v>
      </c>
      <c r="L159" t="s">
        <v>3</v>
      </c>
      <c r="M159" t="s">
        <v>4</v>
      </c>
      <c r="N159" s="2">
        <v>18350</v>
      </c>
      <c r="O159" s="2">
        <v>18412.684000000001</v>
      </c>
      <c r="P159" s="2">
        <v>15358.953</v>
      </c>
      <c r="Q159" t="s">
        <v>73</v>
      </c>
      <c r="R159" t="s">
        <v>6</v>
      </c>
      <c r="S159" t="s">
        <v>66</v>
      </c>
      <c r="T159" t="s">
        <v>8</v>
      </c>
    </row>
    <row r="160" spans="1:20" x14ac:dyDescent="0.25">
      <c r="A160" s="74">
        <f>P160+P161+P162</f>
        <v>26291.994999999999</v>
      </c>
      <c r="B160" s="74" t="str">
        <f>'Весы 03.11.2023'!I62</f>
        <v>26270</v>
      </c>
      <c r="C160" s="70" t="str">
        <f>'Весы 03.11.2023'!K62</f>
        <v>-22</v>
      </c>
      <c r="D160" s="74">
        <f t="shared" ref="D160" si="88">B160-C160</f>
        <v>26292</v>
      </c>
      <c r="E160" s="74">
        <f t="shared" ref="E160" si="89">A160-D160</f>
        <v>-5.0000000010186341E-3</v>
      </c>
      <c r="F160" t="s">
        <v>32</v>
      </c>
      <c r="G160" s="1">
        <v>45233</v>
      </c>
      <c r="H160" t="s">
        <v>246</v>
      </c>
      <c r="I160" t="s">
        <v>38</v>
      </c>
      <c r="J160" t="s">
        <v>1</v>
      </c>
      <c r="K160" t="s">
        <v>2</v>
      </c>
      <c r="L160" t="s">
        <v>3</v>
      </c>
      <c r="M160" t="s">
        <v>4</v>
      </c>
      <c r="N160" s="2">
        <v>17000</v>
      </c>
      <c r="O160" s="2">
        <v>17029.188999999998</v>
      </c>
      <c r="P160" s="2">
        <v>14169.495000000001</v>
      </c>
      <c r="Q160" t="s">
        <v>55</v>
      </c>
      <c r="R160" t="s">
        <v>23</v>
      </c>
      <c r="S160" t="s">
        <v>34</v>
      </c>
      <c r="T160" t="s">
        <v>8</v>
      </c>
    </row>
    <row r="161" spans="1:20" x14ac:dyDescent="0.25">
      <c r="A161" s="74"/>
      <c r="B161" s="74"/>
      <c r="C161" s="71"/>
      <c r="D161" s="74"/>
      <c r="E161" s="74"/>
      <c r="F161" t="s">
        <v>32</v>
      </c>
      <c r="G161" s="1">
        <v>45233</v>
      </c>
      <c r="H161" t="s">
        <v>246</v>
      </c>
      <c r="I161" t="s">
        <v>128</v>
      </c>
      <c r="J161" t="s">
        <v>11</v>
      </c>
      <c r="K161" t="s">
        <v>12</v>
      </c>
      <c r="L161" t="s">
        <v>3</v>
      </c>
      <c r="M161" t="s">
        <v>4</v>
      </c>
      <c r="N161" s="2">
        <v>5000</v>
      </c>
      <c r="O161" s="2">
        <v>5012.1099999999997</v>
      </c>
      <c r="P161" s="2">
        <v>3737.5010000000002</v>
      </c>
      <c r="Q161" t="s">
        <v>55</v>
      </c>
      <c r="R161" t="s">
        <v>23</v>
      </c>
      <c r="S161" t="s">
        <v>34</v>
      </c>
      <c r="T161" t="s">
        <v>8</v>
      </c>
    </row>
    <row r="162" spans="1:20" x14ac:dyDescent="0.25">
      <c r="A162" s="74"/>
      <c r="B162" s="74"/>
      <c r="C162" s="71"/>
      <c r="D162" s="74"/>
      <c r="E162" s="74"/>
      <c r="F162" t="s">
        <v>32</v>
      </c>
      <c r="G162" s="1">
        <v>45233</v>
      </c>
      <c r="H162" t="s">
        <v>246</v>
      </c>
      <c r="I162" t="s">
        <v>139</v>
      </c>
      <c r="J162" t="s">
        <v>20</v>
      </c>
      <c r="K162" t="s">
        <v>21</v>
      </c>
      <c r="L162" t="s">
        <v>3</v>
      </c>
      <c r="M162" t="s">
        <v>4</v>
      </c>
      <c r="N162" s="2">
        <v>10000</v>
      </c>
      <c r="O162" s="2">
        <v>10051.200000000001</v>
      </c>
      <c r="P162" s="2">
        <v>8384.9989999999998</v>
      </c>
      <c r="Q162" t="s">
        <v>138</v>
      </c>
      <c r="R162" t="s">
        <v>23</v>
      </c>
      <c r="S162" t="s">
        <v>34</v>
      </c>
      <c r="T162" t="s">
        <v>8</v>
      </c>
    </row>
    <row r="163" spans="1:20" x14ac:dyDescent="0.25">
      <c r="A163" s="74">
        <f>P163+P164</f>
        <v>14483.996000000001</v>
      </c>
      <c r="B163" s="74" t="str">
        <f>'Весы 03.11.2023'!I57</f>
        <v>14470</v>
      </c>
      <c r="C163" s="70" t="str">
        <f>'Весы 03.11.2023'!K57</f>
        <v>-14</v>
      </c>
      <c r="D163" s="74">
        <f t="shared" ref="D163" si="90">B163-C163</f>
        <v>14484</v>
      </c>
      <c r="E163" s="74">
        <f t="shared" ref="E163" si="91">A163-D163</f>
        <v>-3.9999999989959178E-3</v>
      </c>
      <c r="F163" t="s">
        <v>110</v>
      </c>
      <c r="G163" s="1">
        <v>45233</v>
      </c>
      <c r="H163" t="s">
        <v>100</v>
      </c>
      <c r="I163" t="s">
        <v>42</v>
      </c>
      <c r="J163" t="s">
        <v>11</v>
      </c>
      <c r="K163" t="s">
        <v>12</v>
      </c>
      <c r="L163" t="s">
        <v>3</v>
      </c>
      <c r="M163" t="s">
        <v>4</v>
      </c>
      <c r="N163" s="2">
        <v>6000</v>
      </c>
      <c r="O163" s="2">
        <v>6021.7619999999997</v>
      </c>
      <c r="P163" s="2">
        <v>4494.0010000000002</v>
      </c>
      <c r="Q163" t="s">
        <v>51</v>
      </c>
      <c r="R163" t="s">
        <v>6</v>
      </c>
      <c r="S163" t="s">
        <v>111</v>
      </c>
      <c r="T163" t="s">
        <v>8</v>
      </c>
    </row>
    <row r="164" spans="1:20" x14ac:dyDescent="0.25">
      <c r="A164" s="74"/>
      <c r="B164" s="74"/>
      <c r="C164" s="71"/>
      <c r="D164" s="74"/>
      <c r="E164" s="74"/>
      <c r="F164" t="s">
        <v>110</v>
      </c>
      <c r="G164" s="1">
        <v>45233</v>
      </c>
      <c r="H164" t="s">
        <v>100</v>
      </c>
      <c r="I164" t="s">
        <v>67</v>
      </c>
      <c r="J164" t="s">
        <v>1</v>
      </c>
      <c r="K164" t="s">
        <v>2</v>
      </c>
      <c r="L164" t="s">
        <v>3</v>
      </c>
      <c r="M164" t="s">
        <v>4</v>
      </c>
      <c r="N164" s="2">
        <v>12000</v>
      </c>
      <c r="O164" s="2">
        <v>12010.308000000001</v>
      </c>
      <c r="P164" s="2">
        <v>9989.9950000000008</v>
      </c>
      <c r="Q164" t="s">
        <v>49</v>
      </c>
      <c r="R164" t="s">
        <v>6</v>
      </c>
      <c r="S164" t="s">
        <v>111</v>
      </c>
      <c r="T164" t="s">
        <v>8</v>
      </c>
    </row>
    <row r="165" spans="1:20" x14ac:dyDescent="0.25">
      <c r="A165" s="74">
        <f>P165+P166+P167</f>
        <v>24216.148999999998</v>
      </c>
      <c r="B165" s="74" t="str">
        <f>'Весы 03.11.2023'!I68</f>
        <v>24170</v>
      </c>
      <c r="C165" s="70" t="str">
        <f>'Весы 03.11.2023'!K68</f>
        <v>-46</v>
      </c>
      <c r="D165" s="74">
        <f t="shared" ref="D165" si="92">B165-C165</f>
        <v>24216</v>
      </c>
      <c r="E165" s="74">
        <f t="shared" ref="E165" si="93">A165-D165</f>
        <v>0.14899999999761349</v>
      </c>
      <c r="F165" t="s">
        <v>60</v>
      </c>
      <c r="G165" s="1">
        <v>45233</v>
      </c>
      <c r="H165" t="s">
        <v>245</v>
      </c>
      <c r="I165" t="s">
        <v>26</v>
      </c>
      <c r="J165" t="s">
        <v>16</v>
      </c>
      <c r="K165" t="s">
        <v>17</v>
      </c>
      <c r="L165" t="s">
        <v>3</v>
      </c>
      <c r="M165" t="s">
        <v>4</v>
      </c>
      <c r="N165" s="2">
        <v>8135</v>
      </c>
      <c r="O165" s="2">
        <v>8154.6220000000003</v>
      </c>
      <c r="P165" s="2">
        <v>6097.183</v>
      </c>
      <c r="Q165" t="s">
        <v>55</v>
      </c>
      <c r="R165" t="s">
        <v>23</v>
      </c>
      <c r="S165" t="s">
        <v>61</v>
      </c>
      <c r="T165" t="s">
        <v>8</v>
      </c>
    </row>
    <row r="166" spans="1:20" x14ac:dyDescent="0.25">
      <c r="A166" s="74"/>
      <c r="B166" s="74"/>
      <c r="C166" s="71"/>
      <c r="D166" s="74"/>
      <c r="E166" s="74"/>
      <c r="F166" t="s">
        <v>60</v>
      </c>
      <c r="G166" s="1">
        <v>45233</v>
      </c>
      <c r="H166" t="s">
        <v>245</v>
      </c>
      <c r="I166" t="s">
        <v>54</v>
      </c>
      <c r="J166" t="s">
        <v>11</v>
      </c>
      <c r="K166" t="s">
        <v>12</v>
      </c>
      <c r="L166" t="s">
        <v>3</v>
      </c>
      <c r="M166" t="s">
        <v>4</v>
      </c>
      <c r="N166" s="2">
        <v>12625</v>
      </c>
      <c r="O166" s="2">
        <v>12655.641</v>
      </c>
      <c r="P166" s="2">
        <v>9424.5660000000007</v>
      </c>
      <c r="Q166" t="s">
        <v>55</v>
      </c>
      <c r="R166" t="s">
        <v>23</v>
      </c>
      <c r="S166" t="s">
        <v>61</v>
      </c>
      <c r="T166" t="s">
        <v>8</v>
      </c>
    </row>
    <row r="167" spans="1:20" x14ac:dyDescent="0.25">
      <c r="A167" s="74"/>
      <c r="B167" s="74"/>
      <c r="C167" s="71"/>
      <c r="D167" s="74"/>
      <c r="E167" s="74"/>
      <c r="F167" t="s">
        <v>60</v>
      </c>
      <c r="G167" s="1">
        <v>45233</v>
      </c>
      <c r="H167" t="s">
        <v>245</v>
      </c>
      <c r="I167" t="s">
        <v>37</v>
      </c>
      <c r="J167" t="s">
        <v>1</v>
      </c>
      <c r="K167" t="s">
        <v>2</v>
      </c>
      <c r="L167" t="s">
        <v>3</v>
      </c>
      <c r="M167" t="s">
        <v>4</v>
      </c>
      <c r="N167" s="2">
        <v>10450</v>
      </c>
      <c r="O167" s="2">
        <v>10450</v>
      </c>
      <c r="P167" s="2">
        <v>8694.4</v>
      </c>
      <c r="Q167" t="s">
        <v>39</v>
      </c>
      <c r="R167" t="s">
        <v>23</v>
      </c>
      <c r="S167" t="s">
        <v>61</v>
      </c>
      <c r="T167" t="s">
        <v>8</v>
      </c>
    </row>
    <row r="168" spans="1:20" x14ac:dyDescent="0.25">
      <c r="A168" s="74">
        <f>P169+P170+P168</f>
        <v>27400.894</v>
      </c>
      <c r="B168" s="74" t="str">
        <f>'Весы 03.11.2023'!I72</f>
        <v>27360</v>
      </c>
      <c r="C168" s="74" t="str">
        <f>'Весы 03.11.2023'!K72</f>
        <v>-41</v>
      </c>
      <c r="D168" s="74">
        <f t="shared" ref="D168" si="94">B168-C168</f>
        <v>27401</v>
      </c>
      <c r="E168" s="74">
        <f t="shared" ref="E168" si="95">A168-D168</f>
        <v>-0.10599999999976717</v>
      </c>
      <c r="F168" t="s">
        <v>146</v>
      </c>
      <c r="G168" s="1">
        <v>45233</v>
      </c>
      <c r="H168" t="s">
        <v>240</v>
      </c>
      <c r="I168" t="s">
        <v>50</v>
      </c>
      <c r="J168" t="s">
        <v>1</v>
      </c>
      <c r="K168" t="s">
        <v>2</v>
      </c>
      <c r="L168" t="s">
        <v>3</v>
      </c>
      <c r="M168" t="s">
        <v>4</v>
      </c>
      <c r="N168" s="2">
        <v>14550</v>
      </c>
      <c r="O168" s="2">
        <v>14537.618</v>
      </c>
      <c r="P168" s="2">
        <v>12156.522999999999</v>
      </c>
      <c r="Q168" t="s">
        <v>48</v>
      </c>
      <c r="R168" t="s">
        <v>23</v>
      </c>
      <c r="S168" t="s">
        <v>147</v>
      </c>
      <c r="T168" t="s">
        <v>8</v>
      </c>
    </row>
    <row r="169" spans="1:20" x14ac:dyDescent="0.25">
      <c r="A169" s="74"/>
      <c r="B169" s="74"/>
      <c r="C169" s="74"/>
      <c r="D169" s="74"/>
      <c r="E169" s="74"/>
      <c r="F169" t="s">
        <v>146</v>
      </c>
      <c r="G169" s="1">
        <v>45233</v>
      </c>
      <c r="H169" t="s">
        <v>226</v>
      </c>
      <c r="I169" t="s">
        <v>95</v>
      </c>
      <c r="J169" t="s">
        <v>20</v>
      </c>
      <c r="K169" t="s">
        <v>21</v>
      </c>
      <c r="L169" t="s">
        <v>3</v>
      </c>
      <c r="M169" t="s">
        <v>4</v>
      </c>
      <c r="N169" s="2">
        <v>6020</v>
      </c>
      <c r="O169" s="2">
        <v>6020</v>
      </c>
      <c r="P169" s="2">
        <v>5038.74</v>
      </c>
      <c r="Q169" t="s">
        <v>39</v>
      </c>
      <c r="R169" t="s">
        <v>23</v>
      </c>
      <c r="S169" t="s">
        <v>147</v>
      </c>
      <c r="T169" t="s">
        <v>8</v>
      </c>
    </row>
    <row r="170" spans="1:20" x14ac:dyDescent="0.25">
      <c r="A170" s="74"/>
      <c r="B170" s="74"/>
      <c r="C170" s="74"/>
      <c r="D170" s="74"/>
      <c r="E170" s="74"/>
      <c r="F170" t="s">
        <v>146</v>
      </c>
      <c r="G170" s="1">
        <v>45233</v>
      </c>
      <c r="H170" t="s">
        <v>226</v>
      </c>
      <c r="I170" t="s">
        <v>50</v>
      </c>
      <c r="J170" t="s">
        <v>1</v>
      </c>
      <c r="K170" t="s">
        <v>2</v>
      </c>
      <c r="L170" t="s">
        <v>3</v>
      </c>
      <c r="M170" t="s">
        <v>4</v>
      </c>
      <c r="N170" s="2">
        <v>12215</v>
      </c>
      <c r="O170" s="2">
        <v>12204.605</v>
      </c>
      <c r="P170" s="2">
        <v>10205.630999999999</v>
      </c>
      <c r="Q170" t="s">
        <v>48</v>
      </c>
      <c r="R170" t="s">
        <v>23</v>
      </c>
      <c r="S170" t="s">
        <v>147</v>
      </c>
      <c r="T170" t="s">
        <v>8</v>
      </c>
    </row>
    <row r="171" spans="1:20" x14ac:dyDescent="0.25">
      <c r="A171" s="74">
        <f>P171+P172+P173</f>
        <v>25738.498</v>
      </c>
      <c r="B171" s="74" t="str">
        <f>'Весы 03.11.2023'!I66</f>
        <v>25700</v>
      </c>
      <c r="C171" s="74" t="str">
        <f>'Весы 03.11.2023'!K66</f>
        <v>-39</v>
      </c>
      <c r="D171" s="74">
        <f t="shared" ref="D171" si="96">B171-C171</f>
        <v>25739</v>
      </c>
      <c r="E171" s="74">
        <f t="shared" ref="E171" si="97">A171-D171</f>
        <v>-0.50200000000040745</v>
      </c>
      <c r="F171" t="s">
        <v>5</v>
      </c>
      <c r="G171" s="1">
        <v>45233</v>
      </c>
      <c r="H171" t="s">
        <v>210</v>
      </c>
      <c r="I171" t="s">
        <v>139</v>
      </c>
      <c r="J171" t="s">
        <v>20</v>
      </c>
      <c r="K171" t="s">
        <v>21</v>
      </c>
      <c r="L171" t="s">
        <v>3</v>
      </c>
      <c r="M171" t="s">
        <v>4</v>
      </c>
      <c r="N171" s="2">
        <v>7695</v>
      </c>
      <c r="O171" s="2">
        <v>7701.518</v>
      </c>
      <c r="P171" s="2">
        <v>6452.2560000000003</v>
      </c>
      <c r="Q171" t="s">
        <v>49</v>
      </c>
      <c r="R171" t="s">
        <v>6</v>
      </c>
      <c r="S171" t="s">
        <v>102</v>
      </c>
      <c r="T171" t="s">
        <v>8</v>
      </c>
    </row>
    <row r="172" spans="1:20" x14ac:dyDescent="0.25">
      <c r="A172" s="74"/>
      <c r="B172" s="74"/>
      <c r="C172" s="74"/>
      <c r="D172" s="74"/>
      <c r="E172" s="74"/>
      <c r="F172" t="s">
        <v>5</v>
      </c>
      <c r="G172" s="1">
        <v>45233</v>
      </c>
      <c r="H172" t="s">
        <v>210</v>
      </c>
      <c r="I172" t="s">
        <v>62</v>
      </c>
      <c r="J172" t="s">
        <v>1</v>
      </c>
      <c r="K172" t="s">
        <v>2</v>
      </c>
      <c r="L172" t="s">
        <v>3</v>
      </c>
      <c r="M172" t="s">
        <v>4</v>
      </c>
      <c r="N172" s="2">
        <v>7715</v>
      </c>
      <c r="O172" s="2">
        <v>7721.6040000000003</v>
      </c>
      <c r="P172" s="2">
        <v>6434.3069999999998</v>
      </c>
      <c r="Q172" t="s">
        <v>49</v>
      </c>
      <c r="R172" t="s">
        <v>6</v>
      </c>
      <c r="S172" t="s">
        <v>102</v>
      </c>
      <c r="T172" t="s">
        <v>8</v>
      </c>
    </row>
    <row r="173" spans="1:20" x14ac:dyDescent="0.25">
      <c r="A173" s="74"/>
      <c r="B173" s="74"/>
      <c r="C173" s="74"/>
      <c r="D173" s="74"/>
      <c r="E173" s="74"/>
      <c r="F173" t="s">
        <v>5</v>
      </c>
      <c r="G173" s="1">
        <v>45233</v>
      </c>
      <c r="H173" t="s">
        <v>248</v>
      </c>
      <c r="I173" t="s">
        <v>62</v>
      </c>
      <c r="J173" t="s">
        <v>1</v>
      </c>
      <c r="K173" t="s">
        <v>2</v>
      </c>
      <c r="L173" t="s">
        <v>3</v>
      </c>
      <c r="M173" t="s">
        <v>4</v>
      </c>
      <c r="N173" s="2">
        <v>15410</v>
      </c>
      <c r="O173" s="2">
        <v>15423.191000000001</v>
      </c>
      <c r="P173" s="2">
        <v>12851.934999999999</v>
      </c>
      <c r="Q173" t="s">
        <v>49</v>
      </c>
      <c r="R173" t="s">
        <v>6</v>
      </c>
      <c r="S173" t="s">
        <v>102</v>
      </c>
      <c r="T173" t="s">
        <v>8</v>
      </c>
    </row>
    <row r="174" spans="1:20" x14ac:dyDescent="0.25">
      <c r="A174" s="74">
        <f>P174+P175+P176</f>
        <v>26318.083999999999</v>
      </c>
      <c r="B174" s="74" t="str">
        <f>'Весы 03.11.2023'!I60</f>
        <v>26290</v>
      </c>
      <c r="C174" s="70" t="str">
        <f>'Весы 03.11.2023'!K60</f>
        <v>-28</v>
      </c>
      <c r="D174" s="74">
        <f t="shared" ref="D174" si="98">B174-C174</f>
        <v>26318</v>
      </c>
      <c r="E174" s="74">
        <f t="shared" ref="E174" si="99">A174-D174</f>
        <v>8.3999999998923158E-2</v>
      </c>
      <c r="F174" t="s">
        <v>46</v>
      </c>
      <c r="G174" s="1">
        <v>45233</v>
      </c>
      <c r="H174" t="s">
        <v>264</v>
      </c>
      <c r="I174" t="s">
        <v>128</v>
      </c>
      <c r="J174" t="s">
        <v>11</v>
      </c>
      <c r="K174" t="s">
        <v>12</v>
      </c>
      <c r="L174" t="s">
        <v>3</v>
      </c>
      <c r="M174" t="s">
        <v>4</v>
      </c>
      <c r="N174" s="2">
        <v>6405</v>
      </c>
      <c r="O174" s="2">
        <v>6428.3010000000004</v>
      </c>
      <c r="P174" s="2">
        <v>4787.7380000000003</v>
      </c>
      <c r="Q174" t="s">
        <v>51</v>
      </c>
      <c r="R174" t="s">
        <v>23</v>
      </c>
      <c r="S174" t="s">
        <v>47</v>
      </c>
      <c r="T174" t="s">
        <v>8</v>
      </c>
    </row>
    <row r="175" spans="1:20" x14ac:dyDescent="0.25">
      <c r="A175" s="74"/>
      <c r="B175" s="74"/>
      <c r="C175" s="71"/>
      <c r="D175" s="74"/>
      <c r="E175" s="74"/>
      <c r="F175" t="s">
        <v>46</v>
      </c>
      <c r="G175" s="1">
        <v>45233</v>
      </c>
      <c r="H175" t="s">
        <v>264</v>
      </c>
      <c r="I175" t="s">
        <v>50</v>
      </c>
      <c r="J175" t="s">
        <v>1</v>
      </c>
      <c r="K175" t="s">
        <v>2</v>
      </c>
      <c r="L175" t="s">
        <v>3</v>
      </c>
      <c r="M175" t="s">
        <v>4</v>
      </c>
      <c r="N175" s="2">
        <v>19260</v>
      </c>
      <c r="O175" s="2">
        <v>19276.429</v>
      </c>
      <c r="P175" s="2">
        <v>16091.725</v>
      </c>
      <c r="Q175" t="s">
        <v>49</v>
      </c>
      <c r="R175" t="s">
        <v>23</v>
      </c>
      <c r="S175" t="s">
        <v>47</v>
      </c>
      <c r="T175" t="s">
        <v>8</v>
      </c>
    </row>
    <row r="176" spans="1:20" x14ac:dyDescent="0.25">
      <c r="A176" s="74"/>
      <c r="B176" s="74"/>
      <c r="C176" s="71"/>
      <c r="D176" s="74"/>
      <c r="E176" s="74"/>
      <c r="F176" t="s">
        <v>46</v>
      </c>
      <c r="G176" s="1">
        <v>45233</v>
      </c>
      <c r="H176" t="s">
        <v>264</v>
      </c>
      <c r="I176" t="s">
        <v>85</v>
      </c>
      <c r="J176" t="s">
        <v>124</v>
      </c>
      <c r="K176" t="s">
        <v>125</v>
      </c>
      <c r="L176" t="s">
        <v>3</v>
      </c>
      <c r="M176" t="s">
        <v>4</v>
      </c>
      <c r="N176" s="2">
        <v>6490</v>
      </c>
      <c r="O176" s="2">
        <v>6501.027</v>
      </c>
      <c r="P176" s="2">
        <v>5438.6210000000001</v>
      </c>
      <c r="Q176" t="s">
        <v>55</v>
      </c>
      <c r="R176" t="s">
        <v>23</v>
      </c>
      <c r="S176" t="s">
        <v>47</v>
      </c>
      <c r="T176" t="s">
        <v>8</v>
      </c>
    </row>
    <row r="177" spans="1:20" x14ac:dyDescent="0.25">
      <c r="A177" s="74">
        <f>P177+P178+P179+P180</f>
        <v>24520.048000000003</v>
      </c>
      <c r="B177" s="74" t="str">
        <f>'Весы 03.11.2023'!I59</f>
        <v>24470</v>
      </c>
      <c r="C177" s="70" t="str">
        <f>'Весы 03.11.2023'!K59</f>
        <v>-50</v>
      </c>
      <c r="D177" s="74">
        <f>B177-C177</f>
        <v>24520</v>
      </c>
      <c r="E177" s="74">
        <f>A177-D177</f>
        <v>4.8000000002502929E-2</v>
      </c>
      <c r="F177" t="s">
        <v>107</v>
      </c>
      <c r="G177" s="1">
        <v>45233</v>
      </c>
      <c r="H177" t="s">
        <v>212</v>
      </c>
      <c r="I177" t="s">
        <v>88</v>
      </c>
      <c r="J177" t="s">
        <v>16</v>
      </c>
      <c r="K177" t="s">
        <v>17</v>
      </c>
      <c r="L177" t="s">
        <v>3</v>
      </c>
      <c r="M177" t="s">
        <v>4</v>
      </c>
      <c r="N177" s="2">
        <v>7700</v>
      </c>
      <c r="O177" s="2">
        <v>7737.1760000000004</v>
      </c>
      <c r="P177" s="2">
        <v>5778.85</v>
      </c>
      <c r="Q177" t="s">
        <v>73</v>
      </c>
      <c r="R177" t="s">
        <v>23</v>
      </c>
      <c r="S177" t="s">
        <v>108</v>
      </c>
      <c r="T177" t="s">
        <v>8</v>
      </c>
    </row>
    <row r="178" spans="1:20" x14ac:dyDescent="0.25">
      <c r="A178" s="74"/>
      <c r="B178" s="74"/>
      <c r="C178" s="71"/>
      <c r="D178" s="74"/>
      <c r="E178" s="74"/>
      <c r="F178" t="s">
        <v>107</v>
      </c>
      <c r="G178" s="1">
        <v>45233</v>
      </c>
      <c r="H178" t="s">
        <v>212</v>
      </c>
      <c r="I178" t="s">
        <v>26</v>
      </c>
      <c r="J178" t="s">
        <v>11</v>
      </c>
      <c r="K178" t="s">
        <v>12</v>
      </c>
      <c r="L178" t="s">
        <v>3</v>
      </c>
      <c r="M178" t="s">
        <v>4</v>
      </c>
      <c r="N178" s="2">
        <v>7800</v>
      </c>
      <c r="O178" s="2">
        <v>7818.8140000000003</v>
      </c>
      <c r="P178" s="2">
        <v>5846.1009999999997</v>
      </c>
      <c r="Q178" t="s">
        <v>55</v>
      </c>
      <c r="R178" t="s">
        <v>23</v>
      </c>
      <c r="S178" t="s">
        <v>108</v>
      </c>
      <c r="T178" t="s">
        <v>8</v>
      </c>
    </row>
    <row r="179" spans="1:20" x14ac:dyDescent="0.25">
      <c r="A179" s="74"/>
      <c r="B179" s="74"/>
      <c r="C179" s="71"/>
      <c r="D179" s="74"/>
      <c r="E179" s="74"/>
      <c r="F179" t="s">
        <v>107</v>
      </c>
      <c r="G179" s="1">
        <v>45233</v>
      </c>
      <c r="H179" t="s">
        <v>212</v>
      </c>
      <c r="I179" t="s">
        <v>85</v>
      </c>
      <c r="J179" t="s">
        <v>20</v>
      </c>
      <c r="K179" t="s">
        <v>21</v>
      </c>
      <c r="L179" t="s">
        <v>3</v>
      </c>
      <c r="M179" t="s">
        <v>4</v>
      </c>
      <c r="N179" s="2">
        <v>5300</v>
      </c>
      <c r="O179" s="2">
        <v>5304.4939999999997</v>
      </c>
      <c r="P179" s="2">
        <v>4441.3990000000003</v>
      </c>
      <c r="Q179" t="s">
        <v>49</v>
      </c>
      <c r="R179" t="s">
        <v>23</v>
      </c>
      <c r="S179" t="s">
        <v>108</v>
      </c>
      <c r="T179" t="s">
        <v>8</v>
      </c>
    </row>
    <row r="180" spans="1:20" x14ac:dyDescent="0.25">
      <c r="A180" s="74"/>
      <c r="B180" s="74"/>
      <c r="C180" s="71"/>
      <c r="D180" s="74"/>
      <c r="E180" s="74"/>
      <c r="F180" t="s">
        <v>107</v>
      </c>
      <c r="G180" s="1">
        <v>45233</v>
      </c>
      <c r="H180" t="s">
        <v>212</v>
      </c>
      <c r="I180" t="s">
        <v>95</v>
      </c>
      <c r="J180" t="s">
        <v>1</v>
      </c>
      <c r="K180" t="s">
        <v>2</v>
      </c>
      <c r="L180" t="s">
        <v>3</v>
      </c>
      <c r="M180" t="s">
        <v>4</v>
      </c>
      <c r="N180" s="2">
        <v>10100</v>
      </c>
      <c r="O180" s="2">
        <v>10108.584999999999</v>
      </c>
      <c r="P180" s="2">
        <v>8453.6980000000003</v>
      </c>
      <c r="Q180" t="s">
        <v>49</v>
      </c>
      <c r="R180" t="s">
        <v>23</v>
      </c>
      <c r="S180" t="s">
        <v>108</v>
      </c>
      <c r="T180" t="s">
        <v>8</v>
      </c>
    </row>
    <row r="181" spans="1:20" x14ac:dyDescent="0.25">
      <c r="A181" s="74">
        <f>P181+P182+P183+P184</f>
        <v>26456.493999999999</v>
      </c>
      <c r="B181" s="74" t="str">
        <f>'Весы 03.11.2023'!I58</f>
        <v>26410</v>
      </c>
      <c r="C181" s="70" t="str">
        <f>'Весы 03.11.2023'!K58</f>
        <v>-47</v>
      </c>
      <c r="D181" s="74">
        <f>B181-C181</f>
        <v>26457</v>
      </c>
      <c r="E181" s="74">
        <f>A181-D181</f>
        <v>-0.50600000000122236</v>
      </c>
      <c r="F181" t="s">
        <v>28</v>
      </c>
      <c r="G181" s="1">
        <v>45233</v>
      </c>
      <c r="H181" t="s">
        <v>216</v>
      </c>
      <c r="I181" t="s">
        <v>88</v>
      </c>
      <c r="J181" t="s">
        <v>11</v>
      </c>
      <c r="K181" t="s">
        <v>12</v>
      </c>
      <c r="L181" t="s">
        <v>3</v>
      </c>
      <c r="M181" t="s">
        <v>4</v>
      </c>
      <c r="N181" s="2">
        <v>6000</v>
      </c>
      <c r="O181" s="2">
        <v>6014.442</v>
      </c>
      <c r="P181" s="2">
        <v>4503</v>
      </c>
      <c r="Q181" t="s">
        <v>55</v>
      </c>
      <c r="R181" t="s">
        <v>23</v>
      </c>
      <c r="S181" t="s">
        <v>29</v>
      </c>
      <c r="T181" t="s">
        <v>8</v>
      </c>
    </row>
    <row r="182" spans="1:20" x14ac:dyDescent="0.25">
      <c r="A182" s="74"/>
      <c r="B182" s="74"/>
      <c r="C182" s="71"/>
      <c r="D182" s="74"/>
      <c r="E182" s="74"/>
      <c r="F182" t="s">
        <v>28</v>
      </c>
      <c r="G182" s="1">
        <v>45233</v>
      </c>
      <c r="H182" t="s">
        <v>216</v>
      </c>
      <c r="I182" t="s">
        <v>35</v>
      </c>
      <c r="J182" t="s">
        <v>1</v>
      </c>
      <c r="K182" t="s">
        <v>2</v>
      </c>
      <c r="L182" t="s">
        <v>3</v>
      </c>
      <c r="M182" t="s">
        <v>4</v>
      </c>
      <c r="N182" s="2">
        <v>10000</v>
      </c>
      <c r="O182" s="2">
        <v>10008.540000000001</v>
      </c>
      <c r="P182" s="2">
        <v>8349.9969999999994</v>
      </c>
      <c r="Q182" t="s">
        <v>49</v>
      </c>
      <c r="R182" t="s">
        <v>23</v>
      </c>
      <c r="S182" t="s">
        <v>29</v>
      </c>
      <c r="T182" t="s">
        <v>8</v>
      </c>
    </row>
    <row r="183" spans="1:20" x14ac:dyDescent="0.25">
      <c r="A183" s="74"/>
      <c r="B183" s="74"/>
      <c r="C183" s="71"/>
      <c r="D183" s="74"/>
      <c r="E183" s="74"/>
      <c r="F183" t="s">
        <v>28</v>
      </c>
      <c r="G183" s="1">
        <v>45233</v>
      </c>
      <c r="H183" t="s">
        <v>149</v>
      </c>
      <c r="I183" t="s">
        <v>88</v>
      </c>
      <c r="J183" t="s">
        <v>11</v>
      </c>
      <c r="K183" t="s">
        <v>12</v>
      </c>
      <c r="L183" t="s">
        <v>3</v>
      </c>
      <c r="M183" t="s">
        <v>4</v>
      </c>
      <c r="N183" s="2">
        <v>7000</v>
      </c>
      <c r="O183" s="2">
        <v>7016.8490000000002</v>
      </c>
      <c r="P183" s="2">
        <v>5253.5</v>
      </c>
      <c r="Q183" t="s">
        <v>55</v>
      </c>
      <c r="R183" t="s">
        <v>23</v>
      </c>
      <c r="S183" t="s">
        <v>29</v>
      </c>
      <c r="T183" t="s">
        <v>8</v>
      </c>
    </row>
    <row r="184" spans="1:20" x14ac:dyDescent="0.25">
      <c r="A184" s="74"/>
      <c r="B184" s="74"/>
      <c r="C184" s="71"/>
      <c r="D184" s="74"/>
      <c r="E184" s="74"/>
      <c r="F184" t="s">
        <v>28</v>
      </c>
      <c r="G184" s="1">
        <v>45233</v>
      </c>
      <c r="H184" t="s">
        <v>149</v>
      </c>
      <c r="I184" t="s">
        <v>35</v>
      </c>
      <c r="J184" t="s">
        <v>1</v>
      </c>
      <c r="K184" t="s">
        <v>2</v>
      </c>
      <c r="L184" t="s">
        <v>3</v>
      </c>
      <c r="M184" t="s">
        <v>4</v>
      </c>
      <c r="N184" s="2">
        <v>10000</v>
      </c>
      <c r="O184" s="2">
        <v>10008.540000000001</v>
      </c>
      <c r="P184" s="2">
        <v>8349.9969999999994</v>
      </c>
      <c r="Q184" t="s">
        <v>49</v>
      </c>
      <c r="R184" t="s">
        <v>23</v>
      </c>
      <c r="S184" t="s">
        <v>29</v>
      </c>
      <c r="T184" t="s">
        <v>8</v>
      </c>
    </row>
    <row r="185" spans="1:20" x14ac:dyDescent="0.25">
      <c r="A185" s="74">
        <f t="shared" ref="A185" si="100">P185+P186</f>
        <v>25200.906999999999</v>
      </c>
      <c r="B185" s="74" t="str">
        <f>'Весы 03.11.2023'!I69</f>
        <v>25180</v>
      </c>
      <c r="C185" s="70" t="str">
        <f>'Весы 03.11.2023'!K69</f>
        <v>-21</v>
      </c>
      <c r="D185" s="74">
        <f t="shared" ref="D185" si="101">B185-C185</f>
        <v>25201</v>
      </c>
      <c r="E185" s="74">
        <f t="shared" ref="E185" si="102">A185-D185</f>
        <v>-9.30000000007567E-2</v>
      </c>
      <c r="F185" t="s">
        <v>58</v>
      </c>
      <c r="G185" s="1">
        <v>45233</v>
      </c>
      <c r="H185" t="s">
        <v>192</v>
      </c>
      <c r="I185" t="s">
        <v>54</v>
      </c>
      <c r="J185" t="s">
        <v>11</v>
      </c>
      <c r="K185" t="s">
        <v>12</v>
      </c>
      <c r="L185" t="s">
        <v>3</v>
      </c>
      <c r="M185" t="s">
        <v>4</v>
      </c>
      <c r="N185" s="2">
        <v>17005</v>
      </c>
      <c r="O185" s="2">
        <v>17025.61</v>
      </c>
      <c r="P185" s="2">
        <v>12694.239</v>
      </c>
      <c r="Q185" t="s">
        <v>49</v>
      </c>
      <c r="R185" t="s">
        <v>23</v>
      </c>
      <c r="S185" t="s">
        <v>59</v>
      </c>
      <c r="T185" t="s">
        <v>8</v>
      </c>
    </row>
    <row r="186" spans="1:20" x14ac:dyDescent="0.25">
      <c r="A186" s="74"/>
      <c r="B186" s="74"/>
      <c r="C186" s="71"/>
      <c r="D186" s="74"/>
      <c r="E186" s="74"/>
      <c r="F186" t="s">
        <v>58</v>
      </c>
      <c r="G186" s="1">
        <v>45233</v>
      </c>
      <c r="H186" t="s">
        <v>192</v>
      </c>
      <c r="I186" t="s">
        <v>38</v>
      </c>
      <c r="J186" t="s">
        <v>1</v>
      </c>
      <c r="K186" t="s">
        <v>2</v>
      </c>
      <c r="L186" t="s">
        <v>3</v>
      </c>
      <c r="M186" t="s">
        <v>4</v>
      </c>
      <c r="N186" s="2">
        <v>15005</v>
      </c>
      <c r="O186" s="2">
        <v>15005</v>
      </c>
      <c r="P186" s="2">
        <v>12506.668</v>
      </c>
      <c r="Q186" t="s">
        <v>39</v>
      </c>
      <c r="R186" t="s">
        <v>23</v>
      </c>
      <c r="S186" t="s">
        <v>59</v>
      </c>
      <c r="T186" t="s">
        <v>8</v>
      </c>
    </row>
    <row r="187" spans="1:20" x14ac:dyDescent="0.25">
      <c r="A187" s="74">
        <f>P187+P188+P189</f>
        <v>18954.883999999998</v>
      </c>
      <c r="B187" s="74" t="str">
        <f>'Весы 03.11.2023'!I54</f>
        <v>18950</v>
      </c>
      <c r="C187" s="70" t="str">
        <f>'Весы 03.11.2023'!K54</f>
        <v>-5</v>
      </c>
      <c r="D187" s="74">
        <f t="shared" ref="D187" si="103">B187-C187</f>
        <v>18955</v>
      </c>
      <c r="E187" s="74">
        <f t="shared" ref="E187" si="104">A187-D187</f>
        <v>-0.11600000000180444</v>
      </c>
      <c r="F187" t="s">
        <v>22</v>
      </c>
      <c r="G187" s="1">
        <v>45233</v>
      </c>
      <c r="H187" t="s">
        <v>188</v>
      </c>
      <c r="I187" t="s">
        <v>88</v>
      </c>
      <c r="J187" t="s">
        <v>16</v>
      </c>
      <c r="K187" t="s">
        <v>17</v>
      </c>
      <c r="L187" t="s">
        <v>3</v>
      </c>
      <c r="M187" t="s">
        <v>4</v>
      </c>
      <c r="N187" s="2">
        <v>3055</v>
      </c>
      <c r="O187" s="2">
        <v>3069.75</v>
      </c>
      <c r="P187" s="2">
        <v>2292.777</v>
      </c>
      <c r="Q187" t="s">
        <v>73</v>
      </c>
      <c r="R187" t="s">
        <v>23</v>
      </c>
      <c r="S187" t="s">
        <v>24</v>
      </c>
      <c r="T187" t="s">
        <v>8</v>
      </c>
    </row>
    <row r="188" spans="1:20" x14ac:dyDescent="0.25">
      <c r="A188" s="74"/>
      <c r="B188" s="74"/>
      <c r="C188" s="71"/>
      <c r="D188" s="74"/>
      <c r="E188" s="74"/>
      <c r="F188" t="s">
        <v>22</v>
      </c>
      <c r="G188" s="1">
        <v>45233</v>
      </c>
      <c r="H188" t="s">
        <v>188</v>
      </c>
      <c r="I188" t="s">
        <v>26</v>
      </c>
      <c r="J188" t="s">
        <v>11</v>
      </c>
      <c r="K188" t="s">
        <v>12</v>
      </c>
      <c r="L188" t="s">
        <v>3</v>
      </c>
      <c r="M188" t="s">
        <v>4</v>
      </c>
      <c r="N188" s="2">
        <v>11000</v>
      </c>
      <c r="O188" s="2">
        <v>11053.218000000001</v>
      </c>
      <c r="P188" s="2">
        <v>8244.5020000000004</v>
      </c>
      <c r="Q188" t="s">
        <v>73</v>
      </c>
      <c r="R188" t="s">
        <v>23</v>
      </c>
      <c r="S188" t="s">
        <v>24</v>
      </c>
      <c r="T188" t="s">
        <v>8</v>
      </c>
    </row>
    <row r="189" spans="1:20" x14ac:dyDescent="0.25">
      <c r="A189" s="74"/>
      <c r="B189" s="74"/>
      <c r="C189" s="71"/>
      <c r="D189" s="74"/>
      <c r="E189" s="74"/>
      <c r="F189" t="s">
        <v>22</v>
      </c>
      <c r="G189" s="1">
        <v>45233</v>
      </c>
      <c r="H189" t="s">
        <v>188</v>
      </c>
      <c r="I189" t="s">
        <v>74</v>
      </c>
      <c r="J189" t="s">
        <v>1</v>
      </c>
      <c r="K189" t="s">
        <v>2</v>
      </c>
      <c r="L189" t="s">
        <v>3</v>
      </c>
      <c r="M189" t="s">
        <v>4</v>
      </c>
      <c r="N189" s="2">
        <v>10015</v>
      </c>
      <c r="O189" s="2">
        <v>10031.915000000001</v>
      </c>
      <c r="P189" s="2">
        <v>8417.6049999999996</v>
      </c>
      <c r="Q189" t="s">
        <v>55</v>
      </c>
      <c r="R189" t="s">
        <v>23</v>
      </c>
      <c r="S189" t="s">
        <v>24</v>
      </c>
      <c r="T189" t="s">
        <v>8</v>
      </c>
    </row>
    <row r="190" spans="1:20" x14ac:dyDescent="0.25">
      <c r="A190" s="74">
        <f>P190+P191+P192</f>
        <v>25968.562000000002</v>
      </c>
      <c r="B190" s="74" t="str">
        <f>'Весы 03.11.2023'!I71</f>
        <v>25930</v>
      </c>
      <c r="C190" s="70" t="str">
        <f>'Весы 03.11.2023'!K71</f>
        <v>-39</v>
      </c>
      <c r="D190" s="74">
        <f t="shared" ref="D190" si="105">B190-C190</f>
        <v>25969</v>
      </c>
      <c r="E190" s="74">
        <f t="shared" ref="E190" si="106">A190-D190</f>
        <v>-0.43799999999828287</v>
      </c>
      <c r="F190" t="s">
        <v>101</v>
      </c>
      <c r="G190" s="1">
        <v>45233</v>
      </c>
      <c r="H190" t="s">
        <v>251</v>
      </c>
      <c r="I190" t="s">
        <v>64</v>
      </c>
      <c r="J190" t="s">
        <v>11</v>
      </c>
      <c r="K190" t="s">
        <v>12</v>
      </c>
      <c r="L190" t="s">
        <v>3</v>
      </c>
      <c r="M190" t="s">
        <v>4</v>
      </c>
      <c r="N190" s="2">
        <v>12535</v>
      </c>
      <c r="O190" s="2">
        <v>12550.166999999999</v>
      </c>
      <c r="P190" s="2">
        <v>9363.6419999999998</v>
      </c>
      <c r="Q190" t="s">
        <v>49</v>
      </c>
      <c r="R190" t="s">
        <v>6</v>
      </c>
      <c r="S190" t="s">
        <v>205</v>
      </c>
      <c r="T190" t="s">
        <v>8</v>
      </c>
    </row>
    <row r="191" spans="1:20" x14ac:dyDescent="0.25">
      <c r="A191" s="74"/>
      <c r="B191" s="74"/>
      <c r="C191" s="71"/>
      <c r="D191" s="74"/>
      <c r="E191" s="74"/>
      <c r="F191" t="s">
        <v>101</v>
      </c>
      <c r="G191" s="1">
        <v>45233</v>
      </c>
      <c r="H191" t="s">
        <v>251</v>
      </c>
      <c r="I191" t="s">
        <v>95</v>
      </c>
      <c r="J191" t="s">
        <v>1</v>
      </c>
      <c r="K191" t="s">
        <v>2</v>
      </c>
      <c r="L191" t="s">
        <v>3</v>
      </c>
      <c r="M191" t="s">
        <v>4</v>
      </c>
      <c r="N191" s="2">
        <v>12620</v>
      </c>
      <c r="O191" s="2">
        <v>12620</v>
      </c>
      <c r="P191" s="2">
        <v>10562.94</v>
      </c>
      <c r="Q191" t="s">
        <v>39</v>
      </c>
      <c r="R191" t="s">
        <v>6</v>
      </c>
      <c r="S191" t="s">
        <v>205</v>
      </c>
      <c r="T191" t="s">
        <v>8</v>
      </c>
    </row>
    <row r="192" spans="1:20" x14ac:dyDescent="0.25">
      <c r="A192" s="74"/>
      <c r="B192" s="74"/>
      <c r="C192" s="71"/>
      <c r="D192" s="74"/>
      <c r="E192" s="74"/>
      <c r="F192" t="s">
        <v>101</v>
      </c>
      <c r="G192" s="1">
        <v>45233</v>
      </c>
      <c r="H192" t="s">
        <v>251</v>
      </c>
      <c r="I192" t="s">
        <v>85</v>
      </c>
      <c r="J192" t="s">
        <v>20</v>
      </c>
      <c r="K192" t="s">
        <v>21</v>
      </c>
      <c r="L192" t="s">
        <v>3</v>
      </c>
      <c r="M192" t="s">
        <v>4</v>
      </c>
      <c r="N192" s="2">
        <v>7210</v>
      </c>
      <c r="O192" s="2">
        <v>7210</v>
      </c>
      <c r="P192" s="2">
        <v>6041.98</v>
      </c>
      <c r="Q192" t="s">
        <v>39</v>
      </c>
      <c r="R192" t="s">
        <v>6</v>
      </c>
      <c r="S192" t="s">
        <v>205</v>
      </c>
      <c r="T192" t="s">
        <v>8</v>
      </c>
    </row>
    <row r="193" spans="1:20" x14ac:dyDescent="0.25">
      <c r="A193" s="74">
        <f>P193+P194+P195</f>
        <v>24979.621999999999</v>
      </c>
      <c r="B193" s="74" t="str">
        <f>'Весы 03.11.2023'!I56</f>
        <v>24950</v>
      </c>
      <c r="C193" s="74" t="str">
        <f>'Весы 03.11.2023'!K56</f>
        <v>-30</v>
      </c>
      <c r="D193" s="74">
        <f t="shared" ref="D193" si="107">B193-C193</f>
        <v>24980</v>
      </c>
      <c r="E193" s="74">
        <f t="shared" ref="E193" si="108">A193-D193</f>
        <v>-0.37800000000061118</v>
      </c>
      <c r="F193" t="s">
        <v>18</v>
      </c>
      <c r="G193" s="1">
        <v>45233</v>
      </c>
      <c r="H193" t="s">
        <v>263</v>
      </c>
      <c r="I193" t="s">
        <v>56</v>
      </c>
      <c r="J193" t="s">
        <v>1</v>
      </c>
      <c r="K193" t="s">
        <v>2</v>
      </c>
      <c r="L193" t="s">
        <v>3</v>
      </c>
      <c r="M193" t="s">
        <v>4</v>
      </c>
      <c r="N193" s="2">
        <v>15345</v>
      </c>
      <c r="O193" s="2">
        <v>15371.286</v>
      </c>
      <c r="P193" s="2">
        <v>12805.4</v>
      </c>
      <c r="Q193" t="s">
        <v>55</v>
      </c>
      <c r="R193" t="s">
        <v>6</v>
      </c>
      <c r="S193" t="s">
        <v>19</v>
      </c>
      <c r="T193" t="s">
        <v>8</v>
      </c>
    </row>
    <row r="194" spans="1:20" x14ac:dyDescent="0.25">
      <c r="A194" s="74"/>
      <c r="B194" s="74"/>
      <c r="C194" s="74"/>
      <c r="D194" s="74"/>
      <c r="E194" s="74"/>
      <c r="F194" t="s">
        <v>18</v>
      </c>
      <c r="G194" s="1">
        <v>45233</v>
      </c>
      <c r="H194" t="s">
        <v>263</v>
      </c>
      <c r="I194" t="s">
        <v>42</v>
      </c>
      <c r="J194" t="s">
        <v>11</v>
      </c>
      <c r="K194" t="s">
        <v>12</v>
      </c>
      <c r="L194" t="s">
        <v>3</v>
      </c>
      <c r="M194" t="s">
        <v>4</v>
      </c>
      <c r="N194" s="2">
        <v>7675</v>
      </c>
      <c r="O194" s="2">
        <v>7693.527</v>
      </c>
      <c r="P194" s="2">
        <v>5748.5730000000003</v>
      </c>
      <c r="Q194" t="s">
        <v>55</v>
      </c>
      <c r="R194" t="s">
        <v>6</v>
      </c>
      <c r="S194" t="s">
        <v>19</v>
      </c>
      <c r="T194" t="s">
        <v>8</v>
      </c>
    </row>
    <row r="195" spans="1:20" x14ac:dyDescent="0.25">
      <c r="A195" s="74"/>
      <c r="B195" s="74"/>
      <c r="C195" s="74"/>
      <c r="D195" s="74"/>
      <c r="E195" s="74"/>
      <c r="F195" t="s">
        <v>18</v>
      </c>
      <c r="G195" s="1">
        <v>45233</v>
      </c>
      <c r="H195" t="s">
        <v>203</v>
      </c>
      <c r="I195" t="s">
        <v>56</v>
      </c>
      <c r="J195" t="s">
        <v>1</v>
      </c>
      <c r="K195" t="s">
        <v>2</v>
      </c>
      <c r="L195" t="s">
        <v>3</v>
      </c>
      <c r="M195" t="s">
        <v>4</v>
      </c>
      <c r="N195" s="2">
        <v>7700</v>
      </c>
      <c r="O195" s="2">
        <v>7713.19</v>
      </c>
      <c r="P195" s="2">
        <v>6425.6490000000003</v>
      </c>
      <c r="Q195" t="s">
        <v>55</v>
      </c>
      <c r="R195" t="s">
        <v>6</v>
      </c>
      <c r="S195" t="s">
        <v>19</v>
      </c>
      <c r="T195" t="s">
        <v>8</v>
      </c>
    </row>
    <row r="196" spans="1:20" x14ac:dyDescent="0.25">
      <c r="A196" s="74">
        <f>P196+P197+P198</f>
        <v>25798.612000000001</v>
      </c>
      <c r="B196" s="74" t="str">
        <f>'Весы 03.11.2023'!I73</f>
        <v>25760</v>
      </c>
      <c r="C196" s="70" t="str">
        <f>'Весы 03.11.2023'!K73</f>
        <v>-39</v>
      </c>
      <c r="D196" s="74">
        <f t="shared" ref="D196" si="109">B196-C196</f>
        <v>25799</v>
      </c>
      <c r="E196" s="74">
        <f t="shared" ref="E196" si="110">A196-D196</f>
        <v>-0.38799999999901047</v>
      </c>
      <c r="F196" t="s">
        <v>65</v>
      </c>
      <c r="G196" s="1">
        <v>45233</v>
      </c>
      <c r="H196" t="s">
        <v>187</v>
      </c>
      <c r="I196" t="s">
        <v>64</v>
      </c>
      <c r="J196" t="s">
        <v>11</v>
      </c>
      <c r="K196" t="s">
        <v>12</v>
      </c>
      <c r="L196" t="s">
        <v>3</v>
      </c>
      <c r="M196" t="s">
        <v>4</v>
      </c>
      <c r="N196" s="2">
        <v>11080</v>
      </c>
      <c r="O196" s="2">
        <v>11093.406999999999</v>
      </c>
      <c r="P196" s="2">
        <v>8276.7579999999998</v>
      </c>
      <c r="Q196" t="s">
        <v>49</v>
      </c>
      <c r="R196" t="s">
        <v>6</v>
      </c>
      <c r="S196" t="s">
        <v>66</v>
      </c>
      <c r="T196" t="s">
        <v>8</v>
      </c>
    </row>
    <row r="197" spans="1:20" x14ac:dyDescent="0.25">
      <c r="A197" s="74"/>
      <c r="B197" s="74"/>
      <c r="C197" s="71"/>
      <c r="D197" s="74"/>
      <c r="E197" s="74"/>
      <c r="F197" t="s">
        <v>65</v>
      </c>
      <c r="G197" s="1">
        <v>45233</v>
      </c>
      <c r="H197" t="s">
        <v>187</v>
      </c>
      <c r="I197" t="s">
        <v>139</v>
      </c>
      <c r="J197" t="s">
        <v>20</v>
      </c>
      <c r="K197" t="s">
        <v>21</v>
      </c>
      <c r="L197" t="s">
        <v>3</v>
      </c>
      <c r="M197" t="s">
        <v>4</v>
      </c>
      <c r="N197" s="2">
        <v>6980</v>
      </c>
      <c r="O197" s="2">
        <v>6974.1019999999999</v>
      </c>
      <c r="P197" s="2">
        <v>5852.7309999999998</v>
      </c>
      <c r="Q197" t="s">
        <v>48</v>
      </c>
      <c r="R197" t="s">
        <v>6</v>
      </c>
      <c r="S197" t="s">
        <v>66</v>
      </c>
      <c r="T197" t="s">
        <v>8</v>
      </c>
    </row>
    <row r="198" spans="1:20" x14ac:dyDescent="0.25">
      <c r="A198" s="74"/>
      <c r="B198" s="74"/>
      <c r="C198" s="71"/>
      <c r="D198" s="74"/>
      <c r="E198" s="74"/>
      <c r="F198" t="s">
        <v>65</v>
      </c>
      <c r="G198" s="1">
        <v>45233</v>
      </c>
      <c r="H198" t="s">
        <v>187</v>
      </c>
      <c r="I198" t="s">
        <v>35</v>
      </c>
      <c r="J198" t="s">
        <v>1</v>
      </c>
      <c r="K198" t="s">
        <v>2</v>
      </c>
      <c r="L198" t="s">
        <v>3</v>
      </c>
      <c r="M198" t="s">
        <v>4</v>
      </c>
      <c r="N198" s="2">
        <v>13975</v>
      </c>
      <c r="O198" s="2">
        <v>13963.093000000001</v>
      </c>
      <c r="P198" s="2">
        <v>11669.123</v>
      </c>
      <c r="Q198" t="s">
        <v>48</v>
      </c>
      <c r="R198" t="s">
        <v>6</v>
      </c>
      <c r="S198" t="s">
        <v>66</v>
      </c>
      <c r="T198" t="s">
        <v>8</v>
      </c>
    </row>
    <row r="199" spans="1:20" x14ac:dyDescent="0.25">
      <c r="A199" s="74">
        <f>P199+P200</f>
        <v>25726.553</v>
      </c>
      <c r="B199" s="74" t="str">
        <f>'Весы 03.11.2023'!I74</f>
        <v>25690</v>
      </c>
      <c r="C199" s="70" t="str">
        <f>'Весы 03.11.2023'!K74</f>
        <v>-37</v>
      </c>
      <c r="D199" s="74">
        <f t="shared" ref="D199" si="111">B199-C199</f>
        <v>25727</v>
      </c>
      <c r="E199" s="74">
        <f t="shared" ref="E199" si="112">A199-D199</f>
        <v>-0.44700000000011642</v>
      </c>
      <c r="F199" t="s">
        <v>131</v>
      </c>
      <c r="G199" s="1">
        <v>45233</v>
      </c>
      <c r="H199" t="s">
        <v>196</v>
      </c>
      <c r="I199" t="s">
        <v>129</v>
      </c>
      <c r="J199" t="s">
        <v>1</v>
      </c>
      <c r="K199" t="s">
        <v>2</v>
      </c>
      <c r="L199" t="s">
        <v>3</v>
      </c>
      <c r="M199" t="s">
        <v>4</v>
      </c>
      <c r="N199" s="2">
        <v>15390</v>
      </c>
      <c r="O199" s="2">
        <v>15376.933999999999</v>
      </c>
      <c r="P199" s="2">
        <v>12873.733</v>
      </c>
      <c r="Q199" t="s">
        <v>48</v>
      </c>
      <c r="R199" t="s">
        <v>6</v>
      </c>
      <c r="S199" t="s">
        <v>132</v>
      </c>
      <c r="T199" t="s">
        <v>8</v>
      </c>
    </row>
    <row r="200" spans="1:20" x14ac:dyDescent="0.25">
      <c r="A200" s="74"/>
      <c r="B200" s="74"/>
      <c r="C200" s="71"/>
      <c r="D200" s="74"/>
      <c r="E200" s="74"/>
      <c r="F200" t="s">
        <v>131</v>
      </c>
      <c r="G200" s="1">
        <v>45233</v>
      </c>
      <c r="H200" t="s">
        <v>126</v>
      </c>
      <c r="I200" t="s">
        <v>129</v>
      </c>
      <c r="J200" t="s">
        <v>1</v>
      </c>
      <c r="K200" t="s">
        <v>2</v>
      </c>
      <c r="L200" t="s">
        <v>3</v>
      </c>
      <c r="M200" t="s">
        <v>4</v>
      </c>
      <c r="N200" s="2">
        <v>15365</v>
      </c>
      <c r="O200" s="2">
        <v>15351.955</v>
      </c>
      <c r="P200" s="2">
        <v>12852.82</v>
      </c>
      <c r="Q200" t="s">
        <v>48</v>
      </c>
      <c r="R200" t="s">
        <v>6</v>
      </c>
      <c r="S200" t="s">
        <v>132</v>
      </c>
      <c r="T200" t="s">
        <v>8</v>
      </c>
    </row>
    <row r="201" spans="1:20" x14ac:dyDescent="0.25">
      <c r="A201" s="74">
        <f>P201+P202</f>
        <v>24968.982</v>
      </c>
      <c r="B201" s="74" t="str">
        <f>'Весы 03.11.2023'!I77</f>
        <v>24930</v>
      </c>
      <c r="C201" s="70" t="str">
        <f>'Весы 03.11.2023'!K77</f>
        <v>-39</v>
      </c>
      <c r="D201" s="74">
        <f t="shared" ref="D201" si="113">B201-C201</f>
        <v>24969</v>
      </c>
      <c r="E201" s="74">
        <f t="shared" ref="E201" si="114">A201-D201</f>
        <v>-1.8000000000029104E-2</v>
      </c>
      <c r="F201" t="s">
        <v>18</v>
      </c>
      <c r="G201" s="1">
        <v>45233</v>
      </c>
      <c r="H201" t="s">
        <v>159</v>
      </c>
      <c r="I201" t="s">
        <v>128</v>
      </c>
      <c r="J201" t="s">
        <v>11</v>
      </c>
      <c r="K201" t="s">
        <v>12</v>
      </c>
      <c r="L201" t="s">
        <v>3</v>
      </c>
      <c r="M201" t="s">
        <v>4</v>
      </c>
      <c r="N201" s="2">
        <v>7665</v>
      </c>
      <c r="O201" s="2">
        <v>7674.2669999999998</v>
      </c>
      <c r="P201" s="2">
        <v>5729.5870000000004</v>
      </c>
      <c r="Q201" t="s">
        <v>49</v>
      </c>
      <c r="R201" t="s">
        <v>6</v>
      </c>
      <c r="S201" t="s">
        <v>19</v>
      </c>
      <c r="T201" t="s">
        <v>8</v>
      </c>
    </row>
    <row r="202" spans="1:20" x14ac:dyDescent="0.25">
      <c r="A202" s="74"/>
      <c r="B202" s="74"/>
      <c r="C202" s="71"/>
      <c r="D202" s="74"/>
      <c r="E202" s="74"/>
      <c r="F202" t="s">
        <v>18</v>
      </c>
      <c r="G202" s="1">
        <v>45233</v>
      </c>
      <c r="H202" t="s">
        <v>159</v>
      </c>
      <c r="I202" t="s">
        <v>56</v>
      </c>
      <c r="J202" t="s">
        <v>1</v>
      </c>
      <c r="K202" t="s">
        <v>2</v>
      </c>
      <c r="L202" t="s">
        <v>3</v>
      </c>
      <c r="M202" t="s">
        <v>4</v>
      </c>
      <c r="N202" s="2">
        <v>23055</v>
      </c>
      <c r="O202" s="2">
        <v>23035.333999999999</v>
      </c>
      <c r="P202" s="2">
        <v>19239.395</v>
      </c>
      <c r="Q202" t="s">
        <v>48</v>
      </c>
      <c r="R202" t="s">
        <v>6</v>
      </c>
      <c r="S202" t="s">
        <v>19</v>
      </c>
      <c r="T202" t="s">
        <v>8</v>
      </c>
    </row>
    <row r="203" spans="1:20" x14ac:dyDescent="0.25">
      <c r="A203" s="74">
        <f>P203+P204+P205</f>
        <v>19757.137999999999</v>
      </c>
      <c r="B203" s="74" t="str">
        <f>'Весы 03.11.2023'!I76</f>
        <v>19740</v>
      </c>
      <c r="C203" s="70" t="str">
        <f>'Весы 03.11.2023'!K76</f>
        <v>-17</v>
      </c>
      <c r="D203" s="74">
        <f t="shared" ref="D203" si="115">B203-C203</f>
        <v>19757</v>
      </c>
      <c r="E203" s="74">
        <f t="shared" ref="E203" si="116">A203-D203</f>
        <v>0.13799999999901047</v>
      </c>
      <c r="F203" t="s">
        <v>22</v>
      </c>
      <c r="G203" s="1">
        <v>45233</v>
      </c>
      <c r="H203" t="s">
        <v>228</v>
      </c>
      <c r="I203" t="s">
        <v>128</v>
      </c>
      <c r="J203" t="s">
        <v>11</v>
      </c>
      <c r="K203" t="s">
        <v>12</v>
      </c>
      <c r="L203" t="s">
        <v>3</v>
      </c>
      <c r="M203" t="s">
        <v>4</v>
      </c>
      <c r="N203" s="2">
        <v>4050</v>
      </c>
      <c r="O203" s="2">
        <v>4054.8960000000002</v>
      </c>
      <c r="P203" s="2">
        <v>3027.375</v>
      </c>
      <c r="Q203" t="s">
        <v>49</v>
      </c>
      <c r="R203" t="s">
        <v>23</v>
      </c>
      <c r="S203" t="s">
        <v>24</v>
      </c>
      <c r="T203" t="s">
        <v>8</v>
      </c>
    </row>
    <row r="204" spans="1:20" x14ac:dyDescent="0.25">
      <c r="A204" s="74"/>
      <c r="B204" s="74"/>
      <c r="C204" s="71"/>
      <c r="D204" s="74"/>
      <c r="E204" s="74"/>
      <c r="F204" t="s">
        <v>22</v>
      </c>
      <c r="G204" s="1">
        <v>45233</v>
      </c>
      <c r="H204" t="s">
        <v>228</v>
      </c>
      <c r="I204" t="s">
        <v>129</v>
      </c>
      <c r="J204" t="s">
        <v>20</v>
      </c>
      <c r="K204" t="s">
        <v>21</v>
      </c>
      <c r="L204" t="s">
        <v>3</v>
      </c>
      <c r="M204" t="s">
        <v>4</v>
      </c>
      <c r="N204" s="2">
        <v>3055</v>
      </c>
      <c r="O204" s="2">
        <v>3055</v>
      </c>
      <c r="P204" s="2">
        <v>2555.5079999999998</v>
      </c>
      <c r="Q204" t="s">
        <v>39</v>
      </c>
      <c r="R204" t="s">
        <v>23</v>
      </c>
      <c r="S204" t="s">
        <v>24</v>
      </c>
      <c r="T204" t="s">
        <v>8</v>
      </c>
    </row>
    <row r="205" spans="1:20" x14ac:dyDescent="0.25">
      <c r="A205" s="74"/>
      <c r="B205" s="74"/>
      <c r="C205" s="71"/>
      <c r="D205" s="74"/>
      <c r="E205" s="74"/>
      <c r="F205" t="s">
        <v>22</v>
      </c>
      <c r="G205" s="1">
        <v>45233</v>
      </c>
      <c r="H205" t="s">
        <v>228</v>
      </c>
      <c r="I205" t="s">
        <v>50</v>
      </c>
      <c r="J205" t="s">
        <v>1</v>
      </c>
      <c r="K205" t="s">
        <v>2</v>
      </c>
      <c r="L205" t="s">
        <v>3</v>
      </c>
      <c r="M205" t="s">
        <v>4</v>
      </c>
      <c r="N205" s="2">
        <v>16965</v>
      </c>
      <c r="O205" s="2">
        <v>16950.562999999998</v>
      </c>
      <c r="P205" s="2">
        <v>14174.254999999999</v>
      </c>
      <c r="Q205" t="s">
        <v>48</v>
      </c>
      <c r="R205" t="s">
        <v>23</v>
      </c>
      <c r="S205" t="s">
        <v>24</v>
      </c>
      <c r="T205" t="s">
        <v>8</v>
      </c>
    </row>
    <row r="206" spans="1:20" x14ac:dyDescent="0.25">
      <c r="A206" s="74">
        <f>P206+P207+P208</f>
        <v>25345.249</v>
      </c>
      <c r="B206" s="74" t="str">
        <f>'Весы 03.11.2023'!I75</f>
        <v>25310</v>
      </c>
      <c r="C206" s="70" t="str">
        <f>'Весы 03.11.2023'!K75</f>
        <v>-35</v>
      </c>
      <c r="D206" s="74">
        <f t="shared" ref="D206" si="117">B206-C206</f>
        <v>25345</v>
      </c>
      <c r="E206" s="74">
        <f t="shared" ref="E206" si="118">A206-D206</f>
        <v>0.24899999999979627</v>
      </c>
      <c r="F206" t="s">
        <v>107</v>
      </c>
      <c r="G206" s="1">
        <v>45233</v>
      </c>
      <c r="H206" t="s">
        <v>204</v>
      </c>
      <c r="I206" t="s">
        <v>50</v>
      </c>
      <c r="J206" t="s">
        <v>1</v>
      </c>
      <c r="K206" t="s">
        <v>2</v>
      </c>
      <c r="L206" t="s">
        <v>3</v>
      </c>
      <c r="M206" t="s">
        <v>4</v>
      </c>
      <c r="N206" s="2">
        <v>10100</v>
      </c>
      <c r="O206" s="2">
        <v>10091.405000000001</v>
      </c>
      <c r="P206" s="2">
        <v>8438.5490000000009</v>
      </c>
      <c r="Q206" t="s">
        <v>48</v>
      </c>
      <c r="R206" t="s">
        <v>23</v>
      </c>
      <c r="S206" t="s">
        <v>108</v>
      </c>
      <c r="T206" t="s">
        <v>8</v>
      </c>
    </row>
    <row r="207" spans="1:20" x14ac:dyDescent="0.25">
      <c r="A207" s="74"/>
      <c r="B207" s="74"/>
      <c r="C207" s="71"/>
      <c r="D207" s="74"/>
      <c r="E207" s="74"/>
      <c r="F207" t="s">
        <v>107</v>
      </c>
      <c r="G207" s="1">
        <v>45233</v>
      </c>
      <c r="H207" t="s">
        <v>197</v>
      </c>
      <c r="I207" t="s">
        <v>54</v>
      </c>
      <c r="J207" t="s">
        <v>11</v>
      </c>
      <c r="K207" t="s">
        <v>12</v>
      </c>
      <c r="L207" t="s">
        <v>3</v>
      </c>
      <c r="M207" t="s">
        <v>4</v>
      </c>
      <c r="N207" s="2">
        <v>5300</v>
      </c>
      <c r="O207" s="2">
        <v>5312.8630000000003</v>
      </c>
      <c r="P207" s="2">
        <v>3956.4520000000002</v>
      </c>
      <c r="Q207" t="s">
        <v>55</v>
      </c>
      <c r="R207" t="s">
        <v>23</v>
      </c>
      <c r="S207" t="s">
        <v>108</v>
      </c>
      <c r="T207" t="s">
        <v>8</v>
      </c>
    </row>
    <row r="208" spans="1:20" x14ac:dyDescent="0.25">
      <c r="A208" s="74"/>
      <c r="B208" s="74"/>
      <c r="C208" s="71"/>
      <c r="D208" s="74"/>
      <c r="E208" s="74"/>
      <c r="F208" t="s">
        <v>107</v>
      </c>
      <c r="G208" s="1">
        <v>45233</v>
      </c>
      <c r="H208" t="s">
        <v>197</v>
      </c>
      <c r="I208" t="s">
        <v>50</v>
      </c>
      <c r="J208" t="s">
        <v>1</v>
      </c>
      <c r="K208" t="s">
        <v>2</v>
      </c>
      <c r="L208" t="s">
        <v>3</v>
      </c>
      <c r="M208" t="s">
        <v>4</v>
      </c>
      <c r="N208" s="2">
        <v>15500</v>
      </c>
      <c r="O208" s="2">
        <v>15486.808999999999</v>
      </c>
      <c r="P208" s="2">
        <v>12950.248</v>
      </c>
      <c r="Q208" t="s">
        <v>48</v>
      </c>
      <c r="R208" t="s">
        <v>23</v>
      </c>
      <c r="S208" t="s">
        <v>108</v>
      </c>
      <c r="T208" t="s">
        <v>8</v>
      </c>
    </row>
    <row r="209" spans="1:20" x14ac:dyDescent="0.25">
      <c r="A209" s="74">
        <f>P209+P210+P211</f>
        <v>24851.502</v>
      </c>
      <c r="B209" s="74" t="str">
        <f>'Весы 03.11.2023'!I70</f>
        <v>24800</v>
      </c>
      <c r="C209" s="70" t="str">
        <f>'Весы 03.11.2023'!K70</f>
        <v>-52</v>
      </c>
      <c r="D209" s="74">
        <f t="shared" ref="D209" si="119">B209-C209</f>
        <v>24852</v>
      </c>
      <c r="E209" s="74">
        <f t="shared" ref="E209" si="120">A209-D209</f>
        <v>-0.49799999999959255</v>
      </c>
      <c r="F209" t="s">
        <v>104</v>
      </c>
      <c r="G209" s="1">
        <v>45233</v>
      </c>
      <c r="H209" t="s">
        <v>227</v>
      </c>
      <c r="I209" t="s">
        <v>42</v>
      </c>
      <c r="J209" t="s">
        <v>16</v>
      </c>
      <c r="K209" t="s">
        <v>17</v>
      </c>
      <c r="L209" t="s">
        <v>3</v>
      </c>
      <c r="M209" t="s">
        <v>4</v>
      </c>
      <c r="N209" s="2">
        <v>7000</v>
      </c>
      <c r="O209" s="2">
        <v>7016.8980000000001</v>
      </c>
      <c r="P209" s="2">
        <v>5242.9979999999996</v>
      </c>
      <c r="Q209" t="s">
        <v>55</v>
      </c>
      <c r="R209" t="s">
        <v>23</v>
      </c>
      <c r="S209" t="s">
        <v>105</v>
      </c>
      <c r="T209" t="s">
        <v>8</v>
      </c>
    </row>
    <row r="210" spans="1:20" x14ac:dyDescent="0.25">
      <c r="A210" s="74"/>
      <c r="B210" s="74"/>
      <c r="C210" s="71"/>
      <c r="D210" s="74"/>
      <c r="E210" s="74"/>
      <c r="F210" t="s">
        <v>104</v>
      </c>
      <c r="G210" s="1">
        <v>45233</v>
      </c>
      <c r="H210" t="s">
        <v>227</v>
      </c>
      <c r="I210" t="s">
        <v>54</v>
      </c>
      <c r="J210" t="s">
        <v>11</v>
      </c>
      <c r="K210" t="s">
        <v>12</v>
      </c>
      <c r="L210" t="s">
        <v>3</v>
      </c>
      <c r="M210" t="s">
        <v>4</v>
      </c>
      <c r="N210" s="2">
        <v>14000</v>
      </c>
      <c r="O210" s="2">
        <v>14033.977999999999</v>
      </c>
      <c r="P210" s="2">
        <v>10451.004000000001</v>
      </c>
      <c r="Q210" t="s">
        <v>55</v>
      </c>
      <c r="R210" t="s">
        <v>23</v>
      </c>
      <c r="S210" t="s">
        <v>105</v>
      </c>
      <c r="T210" t="s">
        <v>8</v>
      </c>
    </row>
    <row r="211" spans="1:20" x14ac:dyDescent="0.25">
      <c r="A211" s="74"/>
      <c r="B211" s="74"/>
      <c r="C211" s="71"/>
      <c r="D211" s="74"/>
      <c r="E211" s="74"/>
      <c r="F211" t="s">
        <v>104</v>
      </c>
      <c r="G211" s="1">
        <v>45233</v>
      </c>
      <c r="H211" t="s">
        <v>227</v>
      </c>
      <c r="I211" t="s">
        <v>67</v>
      </c>
      <c r="J211" t="s">
        <v>1</v>
      </c>
      <c r="K211" t="s">
        <v>2</v>
      </c>
      <c r="L211" t="s">
        <v>3</v>
      </c>
      <c r="M211" t="s">
        <v>4</v>
      </c>
      <c r="N211" s="2">
        <v>11000</v>
      </c>
      <c r="O211" s="2">
        <v>11000</v>
      </c>
      <c r="P211" s="2">
        <v>9157.5</v>
      </c>
      <c r="Q211" t="s">
        <v>39</v>
      </c>
      <c r="R211" t="s">
        <v>23</v>
      </c>
      <c r="S211" t="s">
        <v>105</v>
      </c>
      <c r="T211" t="s">
        <v>8</v>
      </c>
    </row>
    <row r="212" spans="1:20" x14ac:dyDescent="0.25">
      <c r="A212" s="56">
        <f>P212</f>
        <v>26689</v>
      </c>
      <c r="B212" s="60" t="s">
        <v>1446</v>
      </c>
      <c r="C212" s="59"/>
      <c r="E212" s="59"/>
      <c r="F212" t="s">
        <v>80</v>
      </c>
      <c r="G212" s="1">
        <v>45233</v>
      </c>
      <c r="H212" t="s">
        <v>112</v>
      </c>
      <c r="I212" t="s">
        <v>95</v>
      </c>
      <c r="J212" t="s">
        <v>1</v>
      </c>
      <c r="K212" t="s">
        <v>2</v>
      </c>
      <c r="L212" t="s">
        <v>3</v>
      </c>
      <c r="M212" t="s">
        <v>4</v>
      </c>
      <c r="N212" s="2">
        <v>31886</v>
      </c>
      <c r="O212" s="2">
        <v>31886</v>
      </c>
      <c r="P212" s="2">
        <v>26689</v>
      </c>
      <c r="Q212" t="s">
        <v>39</v>
      </c>
      <c r="R212" t="s">
        <v>23</v>
      </c>
      <c r="S212" t="s">
        <v>81</v>
      </c>
      <c r="T212" t="s">
        <v>8</v>
      </c>
    </row>
    <row r="213" spans="1:20" x14ac:dyDescent="0.25">
      <c r="A213" s="163" t="s">
        <v>1466</v>
      </c>
      <c r="B213" s="163"/>
      <c r="C213" s="164"/>
      <c r="D213" s="163"/>
      <c r="E213" s="163">
        <f>SUM(E146:E212)</f>
        <v>-1.5969999999997526</v>
      </c>
      <c r="F213" s="165"/>
      <c r="G213" s="166"/>
      <c r="H213" s="165"/>
      <c r="I213" s="165"/>
      <c r="J213" s="165"/>
      <c r="K213" s="165"/>
      <c r="L213" s="165"/>
      <c r="M213" s="165"/>
      <c r="N213" s="167"/>
      <c r="O213" s="167"/>
      <c r="P213" s="167"/>
      <c r="Q213" s="165"/>
      <c r="R213" s="165"/>
      <c r="S213" s="165"/>
      <c r="T213" s="165"/>
    </row>
    <row r="214" spans="1:20" x14ac:dyDescent="0.25">
      <c r="A214" s="168"/>
      <c r="B214" s="168"/>
      <c r="C214" s="169"/>
      <c r="D214" s="168"/>
      <c r="E214" s="168"/>
      <c r="F214" s="165"/>
      <c r="G214" s="166"/>
      <c r="H214" s="165"/>
      <c r="I214" s="165"/>
      <c r="J214" s="165"/>
      <c r="K214" s="165"/>
      <c r="L214" s="165"/>
      <c r="M214" s="165"/>
      <c r="N214" s="167"/>
      <c r="O214" s="167"/>
      <c r="P214" s="167"/>
      <c r="Q214" s="165"/>
      <c r="R214" s="165"/>
      <c r="S214" s="165"/>
      <c r="T214" s="165"/>
    </row>
    <row r="215" spans="1:20" x14ac:dyDescent="0.25">
      <c r="A215" s="74">
        <f>P215+P216</f>
        <v>25923.457000000002</v>
      </c>
      <c r="B215" s="74" t="str">
        <f>'Весы 04.11.2023'!I57</f>
        <v>25640</v>
      </c>
      <c r="C215" s="70" t="str">
        <f>'Весы 04.11.2023'!K57</f>
        <v>-25</v>
      </c>
      <c r="D215" s="74">
        <f>B215-C215</f>
        <v>25665</v>
      </c>
      <c r="E215" s="72">
        <f>A215-D215</f>
        <v>258.45700000000215</v>
      </c>
      <c r="F215" t="s">
        <v>5</v>
      </c>
      <c r="G215" s="1">
        <v>45234</v>
      </c>
      <c r="H215" t="s">
        <v>172</v>
      </c>
      <c r="I215" t="s">
        <v>133</v>
      </c>
      <c r="J215" t="s">
        <v>20</v>
      </c>
      <c r="K215" t="s">
        <v>21</v>
      </c>
      <c r="L215" t="s">
        <v>3</v>
      </c>
      <c r="M215" t="s">
        <v>4</v>
      </c>
      <c r="N215" s="2">
        <v>7695</v>
      </c>
      <c r="O215" s="2">
        <v>7695</v>
      </c>
      <c r="P215" s="2">
        <v>6486.8850000000002</v>
      </c>
      <c r="Q215" t="s">
        <v>39</v>
      </c>
      <c r="R215" t="s">
        <v>6</v>
      </c>
      <c r="S215" t="s">
        <v>102</v>
      </c>
      <c r="T215" t="s">
        <v>8</v>
      </c>
    </row>
    <row r="216" spans="1:20" x14ac:dyDescent="0.25">
      <c r="A216" s="74"/>
      <c r="B216" s="74"/>
      <c r="C216" s="71"/>
      <c r="D216" s="74"/>
      <c r="E216" s="72"/>
      <c r="F216" t="s">
        <v>5</v>
      </c>
      <c r="G216" s="1">
        <v>45234</v>
      </c>
      <c r="H216" t="s">
        <v>172</v>
      </c>
      <c r="I216" t="s">
        <v>74</v>
      </c>
      <c r="J216" t="s">
        <v>1</v>
      </c>
      <c r="K216" t="s">
        <v>2</v>
      </c>
      <c r="L216" t="s">
        <v>3</v>
      </c>
      <c r="M216" t="s">
        <v>4</v>
      </c>
      <c r="N216" s="2">
        <v>23125</v>
      </c>
      <c r="O216" s="2">
        <v>23105.528999999999</v>
      </c>
      <c r="P216" s="2">
        <v>19436.572</v>
      </c>
      <c r="Q216" t="s">
        <v>48</v>
      </c>
      <c r="R216" t="s">
        <v>6</v>
      </c>
      <c r="S216" t="s">
        <v>102</v>
      </c>
      <c r="T216" t="s">
        <v>8</v>
      </c>
    </row>
    <row r="217" spans="1:20" x14ac:dyDescent="0.25">
      <c r="A217" s="74">
        <f>P217+P218+P219</f>
        <v>26250</v>
      </c>
      <c r="B217" s="74" t="str">
        <f>'Весы 04.11.2023'!I51</f>
        <v>26050</v>
      </c>
      <c r="C217" s="74" t="str">
        <f>'Весы 04.11.2023'!K51</f>
        <v>-40</v>
      </c>
      <c r="D217" s="74">
        <f>B217-C217</f>
        <v>26090</v>
      </c>
      <c r="E217" s="72">
        <f>A217-D217</f>
        <v>160</v>
      </c>
      <c r="F217" t="s">
        <v>104</v>
      </c>
      <c r="G217" s="1">
        <v>45234</v>
      </c>
      <c r="H217" t="s">
        <v>239</v>
      </c>
      <c r="I217" t="s">
        <v>30</v>
      </c>
      <c r="J217" t="s">
        <v>11</v>
      </c>
      <c r="K217" t="s">
        <v>12</v>
      </c>
      <c r="L217" t="s">
        <v>3</v>
      </c>
      <c r="M217" t="s">
        <v>4</v>
      </c>
      <c r="N217" s="2">
        <v>7000</v>
      </c>
      <c r="O217" s="2">
        <v>7008.4210000000003</v>
      </c>
      <c r="P217" s="2">
        <v>5250</v>
      </c>
      <c r="Q217" t="s">
        <v>49</v>
      </c>
      <c r="R217" t="s">
        <v>23</v>
      </c>
      <c r="S217" t="s">
        <v>105</v>
      </c>
      <c r="T217" t="s">
        <v>8</v>
      </c>
    </row>
    <row r="218" spans="1:20" x14ac:dyDescent="0.25">
      <c r="A218" s="74"/>
      <c r="B218" s="74"/>
      <c r="C218" s="74"/>
      <c r="D218" s="74"/>
      <c r="E218" s="72"/>
      <c r="F218" t="s">
        <v>104</v>
      </c>
      <c r="G218" s="1">
        <v>45234</v>
      </c>
      <c r="H218" t="s">
        <v>239</v>
      </c>
      <c r="I218" t="s">
        <v>94</v>
      </c>
      <c r="J218" t="s">
        <v>1</v>
      </c>
      <c r="K218" t="s">
        <v>2</v>
      </c>
      <c r="L218" t="s">
        <v>3</v>
      </c>
      <c r="M218" t="s">
        <v>4</v>
      </c>
      <c r="N218" s="2">
        <v>14000</v>
      </c>
      <c r="O218" s="2">
        <v>14000</v>
      </c>
      <c r="P218" s="2">
        <v>11760</v>
      </c>
      <c r="Q218" t="s">
        <v>39</v>
      </c>
      <c r="R218" t="s">
        <v>23</v>
      </c>
      <c r="S218" t="s">
        <v>105</v>
      </c>
      <c r="T218" t="s">
        <v>8</v>
      </c>
    </row>
    <row r="219" spans="1:20" x14ac:dyDescent="0.25">
      <c r="A219" s="74"/>
      <c r="B219" s="74"/>
      <c r="C219" s="74"/>
      <c r="D219" s="74"/>
      <c r="E219" s="72"/>
      <c r="F219" t="s">
        <v>104</v>
      </c>
      <c r="G219" s="1">
        <v>45234</v>
      </c>
      <c r="H219" t="s">
        <v>242</v>
      </c>
      <c r="I219" t="s">
        <v>94</v>
      </c>
      <c r="J219" t="s">
        <v>1</v>
      </c>
      <c r="K219" t="s">
        <v>2</v>
      </c>
      <c r="L219" t="s">
        <v>3</v>
      </c>
      <c r="M219" t="s">
        <v>4</v>
      </c>
      <c r="N219" s="2">
        <v>11000</v>
      </c>
      <c r="O219" s="2">
        <v>11000</v>
      </c>
      <c r="P219" s="2">
        <v>9240</v>
      </c>
      <c r="Q219" t="s">
        <v>39</v>
      </c>
      <c r="R219" t="s">
        <v>23</v>
      </c>
      <c r="S219" t="s">
        <v>105</v>
      </c>
      <c r="T219" t="s">
        <v>8</v>
      </c>
    </row>
    <row r="220" spans="1:20" x14ac:dyDescent="0.25">
      <c r="A220" s="74">
        <f>P220+P221+P222</f>
        <v>25291.508000000002</v>
      </c>
      <c r="B220" s="74" t="str">
        <f>'Весы 04.11.2023'!I56</f>
        <v>25060</v>
      </c>
      <c r="C220" s="70" t="str">
        <f>'Весы 04.11.2023'!K56</f>
        <v>-13</v>
      </c>
      <c r="D220" s="74">
        <f>B220-C220</f>
        <v>25073</v>
      </c>
      <c r="E220" s="72">
        <f>A220-D220</f>
        <v>218.50800000000163</v>
      </c>
      <c r="F220" t="s">
        <v>60</v>
      </c>
      <c r="G220" s="1">
        <v>45234</v>
      </c>
      <c r="H220" t="s">
        <v>195</v>
      </c>
      <c r="I220" t="s">
        <v>74</v>
      </c>
      <c r="J220" t="s">
        <v>1</v>
      </c>
      <c r="K220" t="s">
        <v>2</v>
      </c>
      <c r="L220" t="s">
        <v>3</v>
      </c>
      <c r="M220" t="s">
        <v>4</v>
      </c>
      <c r="N220" s="2">
        <v>12625</v>
      </c>
      <c r="O220" s="2">
        <v>12625</v>
      </c>
      <c r="P220" s="2">
        <v>10611.313</v>
      </c>
      <c r="Q220" t="s">
        <v>39</v>
      </c>
      <c r="R220" t="s">
        <v>23</v>
      </c>
      <c r="S220" t="s">
        <v>61</v>
      </c>
      <c r="T220" t="s">
        <v>8</v>
      </c>
    </row>
    <row r="221" spans="1:20" x14ac:dyDescent="0.25">
      <c r="A221" s="74"/>
      <c r="B221" s="74"/>
      <c r="C221" s="71"/>
      <c r="D221" s="74"/>
      <c r="E221" s="72"/>
      <c r="F221" t="s">
        <v>60</v>
      </c>
      <c r="G221" s="1">
        <v>45234</v>
      </c>
      <c r="H221" t="s">
        <v>134</v>
      </c>
      <c r="I221" t="s">
        <v>88</v>
      </c>
      <c r="J221" t="s">
        <v>11</v>
      </c>
      <c r="K221" t="s">
        <v>12</v>
      </c>
      <c r="L221" t="s">
        <v>3</v>
      </c>
      <c r="M221" t="s">
        <v>4</v>
      </c>
      <c r="N221" s="2">
        <v>10450</v>
      </c>
      <c r="O221" s="2">
        <v>10437.481</v>
      </c>
      <c r="P221" s="2">
        <v>7842.7269999999999</v>
      </c>
      <c r="Q221" t="s">
        <v>48</v>
      </c>
      <c r="R221" t="s">
        <v>23</v>
      </c>
      <c r="S221" t="s">
        <v>61</v>
      </c>
      <c r="T221" t="s">
        <v>8</v>
      </c>
    </row>
    <row r="222" spans="1:20" x14ac:dyDescent="0.25">
      <c r="A222" s="74"/>
      <c r="B222" s="74"/>
      <c r="C222" s="71"/>
      <c r="D222" s="74"/>
      <c r="E222" s="72"/>
      <c r="F222" t="s">
        <v>60</v>
      </c>
      <c r="G222" s="1">
        <v>45234</v>
      </c>
      <c r="H222" t="s">
        <v>134</v>
      </c>
      <c r="I222" t="s">
        <v>74</v>
      </c>
      <c r="J222" t="s">
        <v>1</v>
      </c>
      <c r="K222" t="s">
        <v>2</v>
      </c>
      <c r="L222" t="s">
        <v>3</v>
      </c>
      <c r="M222" t="s">
        <v>4</v>
      </c>
      <c r="N222" s="2">
        <v>8135</v>
      </c>
      <c r="O222" s="2">
        <v>8135</v>
      </c>
      <c r="P222" s="2">
        <v>6837.4679999999998</v>
      </c>
      <c r="Q222" t="s">
        <v>39</v>
      </c>
      <c r="R222" t="s">
        <v>23</v>
      </c>
      <c r="S222" t="s">
        <v>61</v>
      </c>
      <c r="T222" t="s">
        <v>8</v>
      </c>
    </row>
    <row r="223" spans="1:20" x14ac:dyDescent="0.25">
      <c r="A223" s="74">
        <f>P223+P224+P225+P226</f>
        <v>24984.597000000002</v>
      </c>
      <c r="B223" s="74" t="str">
        <f>'Весы 04.11.2023'!I49</f>
        <v>24780</v>
      </c>
      <c r="C223" s="74" t="str">
        <f>'Весы 04.11.2023'!K49</f>
        <v>-24</v>
      </c>
      <c r="D223" s="74">
        <f>B223-C223</f>
        <v>24804</v>
      </c>
      <c r="E223" s="72">
        <f>A223-D223</f>
        <v>180.59700000000157</v>
      </c>
      <c r="F223" t="s">
        <v>107</v>
      </c>
      <c r="G223" s="1">
        <v>45234</v>
      </c>
      <c r="H223" t="s">
        <v>262</v>
      </c>
      <c r="I223" t="s">
        <v>30</v>
      </c>
      <c r="J223" t="s">
        <v>11</v>
      </c>
      <c r="K223" t="s">
        <v>12</v>
      </c>
      <c r="L223" t="s">
        <v>3</v>
      </c>
      <c r="M223" t="s">
        <v>4</v>
      </c>
      <c r="N223" s="2">
        <v>7200</v>
      </c>
      <c r="O223" s="2">
        <v>7217.3450000000003</v>
      </c>
      <c r="P223" s="2">
        <v>5399.9979999999996</v>
      </c>
      <c r="Q223" t="s">
        <v>55</v>
      </c>
      <c r="R223" t="s">
        <v>23</v>
      </c>
      <c r="S223" t="s">
        <v>108</v>
      </c>
      <c r="T223" t="s">
        <v>8</v>
      </c>
    </row>
    <row r="224" spans="1:20" x14ac:dyDescent="0.25">
      <c r="A224" s="74"/>
      <c r="B224" s="74"/>
      <c r="C224" s="74"/>
      <c r="D224" s="74"/>
      <c r="E224" s="72"/>
      <c r="F224" t="s">
        <v>107</v>
      </c>
      <c r="G224" s="1">
        <v>45234</v>
      </c>
      <c r="H224" t="s">
        <v>262</v>
      </c>
      <c r="I224" t="s">
        <v>95</v>
      </c>
      <c r="J224" t="s">
        <v>1</v>
      </c>
      <c r="K224" t="s">
        <v>2</v>
      </c>
      <c r="L224" t="s">
        <v>3</v>
      </c>
      <c r="M224" t="s">
        <v>4</v>
      </c>
      <c r="N224" s="2">
        <v>7700</v>
      </c>
      <c r="O224" s="2">
        <v>7700</v>
      </c>
      <c r="P224" s="2">
        <v>6444.9</v>
      </c>
      <c r="Q224" t="s">
        <v>39</v>
      </c>
      <c r="R224" t="s">
        <v>23</v>
      </c>
      <c r="S224" t="s">
        <v>108</v>
      </c>
      <c r="T224" t="s">
        <v>8</v>
      </c>
    </row>
    <row r="225" spans="1:20" x14ac:dyDescent="0.25">
      <c r="A225" s="74"/>
      <c r="B225" s="74"/>
      <c r="C225" s="74"/>
      <c r="D225" s="74"/>
      <c r="E225" s="72"/>
      <c r="F225" t="s">
        <v>107</v>
      </c>
      <c r="G225" s="1">
        <v>45234</v>
      </c>
      <c r="H225" t="s">
        <v>257</v>
      </c>
      <c r="I225" t="s">
        <v>30</v>
      </c>
      <c r="J225" t="s">
        <v>11</v>
      </c>
      <c r="K225" t="s">
        <v>12</v>
      </c>
      <c r="L225" t="s">
        <v>3</v>
      </c>
      <c r="M225" t="s">
        <v>4</v>
      </c>
      <c r="N225" s="2">
        <v>2900</v>
      </c>
      <c r="O225" s="2">
        <v>2906.9859999999999</v>
      </c>
      <c r="P225" s="2">
        <v>2174.9989999999998</v>
      </c>
      <c r="Q225" t="s">
        <v>55</v>
      </c>
      <c r="R225" t="s">
        <v>23</v>
      </c>
      <c r="S225" t="s">
        <v>108</v>
      </c>
      <c r="T225" t="s">
        <v>8</v>
      </c>
    </row>
    <row r="226" spans="1:20" x14ac:dyDescent="0.25">
      <c r="A226" s="74"/>
      <c r="B226" s="74"/>
      <c r="C226" s="74"/>
      <c r="D226" s="74"/>
      <c r="E226" s="72"/>
      <c r="F226" t="s">
        <v>107</v>
      </c>
      <c r="G226" s="1">
        <v>45234</v>
      </c>
      <c r="H226" t="s">
        <v>257</v>
      </c>
      <c r="I226" t="s">
        <v>95</v>
      </c>
      <c r="J226" t="s">
        <v>1</v>
      </c>
      <c r="K226" t="s">
        <v>2</v>
      </c>
      <c r="L226" t="s">
        <v>3</v>
      </c>
      <c r="M226" t="s">
        <v>4</v>
      </c>
      <c r="N226" s="2">
        <v>13100</v>
      </c>
      <c r="O226" s="2">
        <v>13100</v>
      </c>
      <c r="P226" s="2">
        <v>10964.7</v>
      </c>
      <c r="Q226" t="s">
        <v>39</v>
      </c>
      <c r="R226" t="s">
        <v>23</v>
      </c>
      <c r="S226" t="s">
        <v>108</v>
      </c>
      <c r="T226" t="s">
        <v>8</v>
      </c>
    </row>
    <row r="227" spans="1:20" x14ac:dyDescent="0.25">
      <c r="A227" s="74">
        <f>P227+P228+P229+P230</f>
        <v>25570.478999999999</v>
      </c>
      <c r="B227" s="74" t="str">
        <f>'Весы 04.11.2023'!I47</f>
        <v>25390</v>
      </c>
      <c r="C227" s="70" t="str">
        <f>'Весы 04.11.2023'!K47</f>
        <v>-46</v>
      </c>
      <c r="D227" s="74">
        <f>B227-C227</f>
        <v>25436</v>
      </c>
      <c r="E227" s="72">
        <f>A227-D227</f>
        <v>134.47899999999936</v>
      </c>
      <c r="F227" t="s">
        <v>58</v>
      </c>
      <c r="G227" s="1">
        <v>45234</v>
      </c>
      <c r="H227" t="s">
        <v>204</v>
      </c>
      <c r="I227" t="s">
        <v>148</v>
      </c>
      <c r="J227" t="s">
        <v>16</v>
      </c>
      <c r="K227" t="s">
        <v>17</v>
      </c>
      <c r="L227" t="s">
        <v>3</v>
      </c>
      <c r="M227" t="s">
        <v>4</v>
      </c>
      <c r="N227" s="2">
        <v>5005</v>
      </c>
      <c r="O227" s="2">
        <v>5023.0230000000001</v>
      </c>
      <c r="P227" s="2">
        <v>3766.2620000000002</v>
      </c>
      <c r="Q227" t="s">
        <v>51</v>
      </c>
      <c r="R227" t="s">
        <v>23</v>
      </c>
      <c r="S227" t="s">
        <v>59</v>
      </c>
      <c r="T227" t="s">
        <v>8</v>
      </c>
    </row>
    <row r="228" spans="1:20" x14ac:dyDescent="0.25">
      <c r="A228" s="74"/>
      <c r="B228" s="74"/>
      <c r="C228" s="71"/>
      <c r="D228" s="74"/>
      <c r="E228" s="72"/>
      <c r="F228" t="s">
        <v>58</v>
      </c>
      <c r="G228" s="1">
        <v>45234</v>
      </c>
      <c r="H228" t="s">
        <v>204</v>
      </c>
      <c r="I228" t="s">
        <v>27</v>
      </c>
      <c r="J228" t="s">
        <v>11</v>
      </c>
      <c r="K228" t="s">
        <v>12</v>
      </c>
      <c r="L228" t="s">
        <v>3</v>
      </c>
      <c r="M228" t="s">
        <v>4</v>
      </c>
      <c r="N228" s="2">
        <v>10000</v>
      </c>
      <c r="O228" s="2">
        <v>10024.049999999999</v>
      </c>
      <c r="P228" s="2">
        <v>7510.0029999999997</v>
      </c>
      <c r="Q228" t="s">
        <v>55</v>
      </c>
      <c r="R228" t="s">
        <v>23</v>
      </c>
      <c r="S228" t="s">
        <v>59</v>
      </c>
      <c r="T228" t="s">
        <v>8</v>
      </c>
    </row>
    <row r="229" spans="1:20" x14ac:dyDescent="0.25">
      <c r="A229" s="74"/>
      <c r="B229" s="74"/>
      <c r="C229" s="71"/>
      <c r="D229" s="74"/>
      <c r="E229" s="72"/>
      <c r="F229" t="s">
        <v>58</v>
      </c>
      <c r="G229" s="1">
        <v>45234</v>
      </c>
      <c r="H229" t="s">
        <v>204</v>
      </c>
      <c r="I229" t="s">
        <v>94</v>
      </c>
      <c r="J229" t="s">
        <v>1</v>
      </c>
      <c r="K229" t="s">
        <v>2</v>
      </c>
      <c r="L229" t="s">
        <v>3</v>
      </c>
      <c r="M229" t="s">
        <v>4</v>
      </c>
      <c r="N229" s="2">
        <v>12000</v>
      </c>
      <c r="O229" s="2">
        <v>12010.14</v>
      </c>
      <c r="P229" s="2">
        <v>10080.004000000001</v>
      </c>
      <c r="Q229" t="s">
        <v>49</v>
      </c>
      <c r="R229" t="s">
        <v>23</v>
      </c>
      <c r="S229" t="s">
        <v>59</v>
      </c>
      <c r="T229" t="s">
        <v>8</v>
      </c>
    </row>
    <row r="230" spans="1:20" x14ac:dyDescent="0.25">
      <c r="A230" s="74"/>
      <c r="B230" s="74"/>
      <c r="C230" s="71"/>
      <c r="D230" s="74"/>
      <c r="E230" s="72"/>
      <c r="F230" t="s">
        <v>58</v>
      </c>
      <c r="G230" s="1">
        <v>45234</v>
      </c>
      <c r="H230" t="s">
        <v>204</v>
      </c>
      <c r="I230" t="s">
        <v>130</v>
      </c>
      <c r="J230" t="s">
        <v>124</v>
      </c>
      <c r="K230" t="s">
        <v>125</v>
      </c>
      <c r="L230" t="s">
        <v>3</v>
      </c>
      <c r="M230" t="s">
        <v>4</v>
      </c>
      <c r="N230" s="2">
        <v>5005</v>
      </c>
      <c r="O230" s="2">
        <v>5009.2139999999999</v>
      </c>
      <c r="P230" s="2">
        <v>4214.21</v>
      </c>
      <c r="Q230" t="s">
        <v>49</v>
      </c>
      <c r="R230" t="s">
        <v>23</v>
      </c>
      <c r="S230" t="s">
        <v>59</v>
      </c>
      <c r="T230" t="s">
        <v>8</v>
      </c>
    </row>
    <row r="231" spans="1:20" x14ac:dyDescent="0.25">
      <c r="A231" s="74">
        <f>P231+P232+P233</f>
        <v>28072</v>
      </c>
      <c r="B231" s="74" t="str">
        <f>'Весы 04.11.2023'!I48</f>
        <v>27870</v>
      </c>
      <c r="C231" s="70" t="str">
        <f>'Весы 04.11.2023'!K48</f>
        <v>-24</v>
      </c>
      <c r="D231" s="74">
        <f>B231-C231</f>
        <v>27894</v>
      </c>
      <c r="E231" s="72">
        <f>A231-D231</f>
        <v>178</v>
      </c>
      <c r="F231" t="s">
        <v>32</v>
      </c>
      <c r="G231" s="1">
        <v>45234</v>
      </c>
      <c r="H231" t="s">
        <v>194</v>
      </c>
      <c r="I231" t="s">
        <v>130</v>
      </c>
      <c r="J231" t="s">
        <v>20</v>
      </c>
      <c r="K231" t="s">
        <v>21</v>
      </c>
      <c r="L231" t="s">
        <v>3</v>
      </c>
      <c r="M231" t="s">
        <v>4</v>
      </c>
      <c r="N231" s="2">
        <v>6500</v>
      </c>
      <c r="O231" s="2">
        <v>6500</v>
      </c>
      <c r="P231" s="2">
        <v>5473</v>
      </c>
      <c r="Q231" t="s">
        <v>39</v>
      </c>
      <c r="R231" t="s">
        <v>23</v>
      </c>
      <c r="S231" t="s">
        <v>34</v>
      </c>
      <c r="T231" t="s">
        <v>8</v>
      </c>
    </row>
    <row r="232" spans="1:20" x14ac:dyDescent="0.25">
      <c r="A232" s="74"/>
      <c r="B232" s="74"/>
      <c r="C232" s="71"/>
      <c r="D232" s="74"/>
      <c r="E232" s="72"/>
      <c r="F232" t="s">
        <v>32</v>
      </c>
      <c r="G232" s="1">
        <v>45234</v>
      </c>
      <c r="H232" t="s">
        <v>194</v>
      </c>
      <c r="I232" t="s">
        <v>95</v>
      </c>
      <c r="J232" t="s">
        <v>1</v>
      </c>
      <c r="K232" t="s">
        <v>2</v>
      </c>
      <c r="L232" t="s">
        <v>3</v>
      </c>
      <c r="M232" t="s">
        <v>4</v>
      </c>
      <c r="N232" s="2">
        <v>10000</v>
      </c>
      <c r="O232" s="2">
        <v>10000</v>
      </c>
      <c r="P232" s="2">
        <v>8370</v>
      </c>
      <c r="Q232" t="s">
        <v>39</v>
      </c>
      <c r="R232" t="s">
        <v>23</v>
      </c>
      <c r="S232" t="s">
        <v>34</v>
      </c>
      <c r="T232" t="s">
        <v>8</v>
      </c>
    </row>
    <row r="233" spans="1:20" x14ac:dyDescent="0.25">
      <c r="A233" s="74"/>
      <c r="B233" s="74"/>
      <c r="C233" s="71"/>
      <c r="D233" s="74"/>
      <c r="E233" s="72"/>
      <c r="F233" t="s">
        <v>32</v>
      </c>
      <c r="G233" s="1">
        <v>45234</v>
      </c>
      <c r="H233" t="s">
        <v>201</v>
      </c>
      <c r="I233" t="s">
        <v>95</v>
      </c>
      <c r="J233" t="s">
        <v>1</v>
      </c>
      <c r="K233" t="s">
        <v>2</v>
      </c>
      <c r="L233" t="s">
        <v>3</v>
      </c>
      <c r="M233" t="s">
        <v>4</v>
      </c>
      <c r="N233" s="2">
        <v>17000</v>
      </c>
      <c r="O233" s="2">
        <v>17000</v>
      </c>
      <c r="P233" s="2">
        <v>14229</v>
      </c>
      <c r="Q233" t="s">
        <v>39</v>
      </c>
      <c r="R233" t="s">
        <v>23</v>
      </c>
      <c r="S233" t="s">
        <v>34</v>
      </c>
      <c r="T233" t="s">
        <v>8</v>
      </c>
    </row>
    <row r="234" spans="1:20" x14ac:dyDescent="0.25">
      <c r="A234" s="74">
        <f t="shared" ref="A234" si="121">P234+P235</f>
        <v>19775.775999999998</v>
      </c>
      <c r="B234" s="74" t="str">
        <f>'Весы 04.11.2023'!I50</f>
        <v>19590</v>
      </c>
      <c r="C234" s="70" t="str">
        <f>'Весы 04.11.2023'!K50</f>
        <v>-16</v>
      </c>
      <c r="D234" s="74">
        <f>B234-C234</f>
        <v>19606</v>
      </c>
      <c r="E234" s="72">
        <f>A234-D234</f>
        <v>169.77599999999802</v>
      </c>
      <c r="F234" t="s">
        <v>22</v>
      </c>
      <c r="G234" s="1">
        <v>45234</v>
      </c>
      <c r="H234" t="s">
        <v>213</v>
      </c>
      <c r="I234" t="s">
        <v>88</v>
      </c>
      <c r="J234" t="s">
        <v>11</v>
      </c>
      <c r="K234" t="s">
        <v>12</v>
      </c>
      <c r="L234" t="s">
        <v>3</v>
      </c>
      <c r="M234" t="s">
        <v>4</v>
      </c>
      <c r="N234" s="2">
        <v>4950</v>
      </c>
      <c r="O234" s="2">
        <v>4955.95</v>
      </c>
      <c r="P234" s="2">
        <v>3714.9760000000001</v>
      </c>
      <c r="Q234" t="s">
        <v>49</v>
      </c>
      <c r="R234" t="s">
        <v>23</v>
      </c>
      <c r="S234" t="s">
        <v>24</v>
      </c>
      <c r="T234" t="s">
        <v>8</v>
      </c>
    </row>
    <row r="235" spans="1:20" x14ac:dyDescent="0.25">
      <c r="A235" s="74"/>
      <c r="B235" s="74"/>
      <c r="C235" s="71"/>
      <c r="D235" s="74"/>
      <c r="E235" s="72"/>
      <c r="F235" t="s">
        <v>22</v>
      </c>
      <c r="G235" s="1">
        <v>45234</v>
      </c>
      <c r="H235" t="s">
        <v>213</v>
      </c>
      <c r="I235" t="s">
        <v>94</v>
      </c>
      <c r="J235" t="s">
        <v>1</v>
      </c>
      <c r="K235" t="s">
        <v>2</v>
      </c>
      <c r="L235" t="s">
        <v>3</v>
      </c>
      <c r="M235" t="s">
        <v>4</v>
      </c>
      <c r="N235" s="2">
        <v>19120</v>
      </c>
      <c r="O235" s="2">
        <v>19120</v>
      </c>
      <c r="P235" s="2">
        <v>16060.8</v>
      </c>
      <c r="Q235" t="s">
        <v>39</v>
      </c>
      <c r="R235" t="s">
        <v>23</v>
      </c>
      <c r="S235" t="s">
        <v>24</v>
      </c>
      <c r="T235" t="s">
        <v>8</v>
      </c>
    </row>
    <row r="236" spans="1:20" x14ac:dyDescent="0.25">
      <c r="A236" s="74">
        <f>P236+P237+P238</f>
        <v>25269</v>
      </c>
      <c r="B236" s="74" t="str">
        <f>'Весы 04.11.2023'!I52</f>
        <v>25010</v>
      </c>
      <c r="C236" s="70" t="str">
        <f>'Весы 04.11.2023'!K52</f>
        <v>-18</v>
      </c>
      <c r="D236" s="74">
        <f>B236-C236</f>
        <v>25028</v>
      </c>
      <c r="E236" s="72">
        <f>A236-D236</f>
        <v>241</v>
      </c>
      <c r="F236" t="s">
        <v>44</v>
      </c>
      <c r="G236" s="1">
        <v>45234</v>
      </c>
      <c r="H236" t="s">
        <v>237</v>
      </c>
      <c r="I236" t="s">
        <v>30</v>
      </c>
      <c r="J236" t="s">
        <v>11</v>
      </c>
      <c r="K236" t="s">
        <v>12</v>
      </c>
      <c r="L236" t="s">
        <v>3</v>
      </c>
      <c r="M236" t="s">
        <v>4</v>
      </c>
      <c r="N236" s="2">
        <v>9500</v>
      </c>
      <c r="O236" s="2">
        <v>9511.4290000000001</v>
      </c>
      <c r="P236" s="2">
        <v>7125</v>
      </c>
      <c r="Q236" t="s">
        <v>49</v>
      </c>
      <c r="R236" t="s">
        <v>6</v>
      </c>
      <c r="S236" t="s">
        <v>45</v>
      </c>
      <c r="T236" t="s">
        <v>8</v>
      </c>
    </row>
    <row r="237" spans="1:20" x14ac:dyDescent="0.25">
      <c r="A237" s="74"/>
      <c r="B237" s="74"/>
      <c r="C237" s="71"/>
      <c r="D237" s="74"/>
      <c r="E237" s="72"/>
      <c r="F237" t="s">
        <v>44</v>
      </c>
      <c r="G237" s="1">
        <v>45234</v>
      </c>
      <c r="H237" t="s">
        <v>237</v>
      </c>
      <c r="I237" t="s">
        <v>94</v>
      </c>
      <c r="J237" t="s">
        <v>1</v>
      </c>
      <c r="K237" t="s">
        <v>2</v>
      </c>
      <c r="L237" t="s">
        <v>3</v>
      </c>
      <c r="M237" t="s">
        <v>4</v>
      </c>
      <c r="N237" s="2">
        <v>11900</v>
      </c>
      <c r="O237" s="2">
        <v>11900</v>
      </c>
      <c r="P237" s="2">
        <v>9996</v>
      </c>
      <c r="Q237" t="s">
        <v>39</v>
      </c>
      <c r="R237" t="s">
        <v>6</v>
      </c>
      <c r="S237" t="s">
        <v>45</v>
      </c>
      <c r="T237" t="s">
        <v>8</v>
      </c>
    </row>
    <row r="238" spans="1:20" x14ac:dyDescent="0.25">
      <c r="A238" s="74"/>
      <c r="B238" s="74"/>
      <c r="C238" s="71"/>
      <c r="D238" s="74"/>
      <c r="E238" s="72"/>
      <c r="F238" t="s">
        <v>44</v>
      </c>
      <c r="G238" s="1">
        <v>45234</v>
      </c>
      <c r="H238" t="s">
        <v>215</v>
      </c>
      <c r="I238" t="s">
        <v>94</v>
      </c>
      <c r="J238" t="s">
        <v>1</v>
      </c>
      <c r="K238" t="s">
        <v>2</v>
      </c>
      <c r="L238" t="s">
        <v>3</v>
      </c>
      <c r="M238" t="s">
        <v>4</v>
      </c>
      <c r="N238" s="2">
        <v>9700</v>
      </c>
      <c r="O238" s="2">
        <v>9700</v>
      </c>
      <c r="P238" s="2">
        <v>8148</v>
      </c>
      <c r="Q238" t="s">
        <v>39</v>
      </c>
      <c r="R238" t="s">
        <v>6</v>
      </c>
      <c r="S238" t="s">
        <v>45</v>
      </c>
      <c r="T238" t="s">
        <v>8</v>
      </c>
    </row>
    <row r="239" spans="1:20" x14ac:dyDescent="0.25">
      <c r="A239" s="74">
        <f>P239+P240+P241</f>
        <v>27138.627</v>
      </c>
      <c r="B239" s="74" t="str">
        <f>'Весы 04.11.2023'!I53</f>
        <v>26860</v>
      </c>
      <c r="C239" s="70" t="str">
        <f>'Весы 04.11.2023'!K53</f>
        <v>-16</v>
      </c>
      <c r="D239" s="74">
        <f>B239-C239</f>
        <v>26876</v>
      </c>
      <c r="E239" s="72">
        <f>A239-D239</f>
        <v>262.62700000000041</v>
      </c>
      <c r="F239" t="s">
        <v>13</v>
      </c>
      <c r="G239" s="1">
        <v>45234</v>
      </c>
      <c r="H239" t="s">
        <v>189</v>
      </c>
      <c r="I239" t="s">
        <v>94</v>
      </c>
      <c r="J239" t="s">
        <v>1</v>
      </c>
      <c r="K239" t="s">
        <v>2</v>
      </c>
      <c r="L239" t="s">
        <v>3</v>
      </c>
      <c r="M239" t="s">
        <v>4</v>
      </c>
      <c r="N239" s="2">
        <v>6955</v>
      </c>
      <c r="O239" s="2">
        <v>6949.1369999999997</v>
      </c>
      <c r="P239" s="2">
        <v>5842.201</v>
      </c>
      <c r="Q239" t="s">
        <v>48</v>
      </c>
      <c r="R239" t="s">
        <v>6</v>
      </c>
      <c r="S239" t="s">
        <v>14</v>
      </c>
      <c r="T239" t="s">
        <v>8</v>
      </c>
    </row>
    <row r="240" spans="1:20" x14ac:dyDescent="0.25">
      <c r="A240" s="74"/>
      <c r="B240" s="74"/>
      <c r="C240" s="71"/>
      <c r="D240" s="74"/>
      <c r="E240" s="72"/>
      <c r="F240" t="s">
        <v>13</v>
      </c>
      <c r="G240" s="1">
        <v>45234</v>
      </c>
      <c r="H240" t="s">
        <v>190</v>
      </c>
      <c r="I240" t="s">
        <v>168</v>
      </c>
      <c r="J240" t="s">
        <v>20</v>
      </c>
      <c r="K240" t="s">
        <v>21</v>
      </c>
      <c r="L240" t="s">
        <v>3</v>
      </c>
      <c r="M240" t="s">
        <v>4</v>
      </c>
      <c r="N240" s="2">
        <v>13925</v>
      </c>
      <c r="O240" s="2">
        <v>13925</v>
      </c>
      <c r="P240" s="2">
        <v>11766.625</v>
      </c>
      <c r="Q240" t="s">
        <v>39</v>
      </c>
      <c r="R240" t="s">
        <v>6</v>
      </c>
      <c r="S240" t="s">
        <v>14</v>
      </c>
      <c r="T240" t="s">
        <v>8</v>
      </c>
    </row>
    <row r="241" spans="1:20" x14ac:dyDescent="0.25">
      <c r="A241" s="74"/>
      <c r="B241" s="74"/>
      <c r="C241" s="71"/>
      <c r="D241" s="74"/>
      <c r="E241" s="72"/>
      <c r="F241" t="s">
        <v>13</v>
      </c>
      <c r="G241" s="1">
        <v>45234</v>
      </c>
      <c r="H241" t="s">
        <v>190</v>
      </c>
      <c r="I241" t="s">
        <v>94</v>
      </c>
      <c r="J241" t="s">
        <v>1</v>
      </c>
      <c r="K241" t="s">
        <v>2</v>
      </c>
      <c r="L241" t="s">
        <v>3</v>
      </c>
      <c r="M241" t="s">
        <v>4</v>
      </c>
      <c r="N241" s="2">
        <v>11345</v>
      </c>
      <c r="O241" s="2">
        <v>11335.436</v>
      </c>
      <c r="P241" s="2">
        <v>9529.8009999999995</v>
      </c>
      <c r="Q241" t="s">
        <v>48</v>
      </c>
      <c r="R241" t="s">
        <v>6</v>
      </c>
      <c r="S241" t="s">
        <v>14</v>
      </c>
      <c r="T241" t="s">
        <v>8</v>
      </c>
    </row>
    <row r="242" spans="1:20" x14ac:dyDescent="0.25">
      <c r="A242" s="74">
        <f t="shared" ref="A242" si="122">P242+P243</f>
        <v>25834.204000000002</v>
      </c>
      <c r="B242" s="74" t="str">
        <f>'Весы 04.11.2023'!I54</f>
        <v>25540</v>
      </c>
      <c r="C242" s="70" t="str">
        <f>'Весы 04.11.2023'!K54</f>
        <v>-17</v>
      </c>
      <c r="D242" s="74">
        <f>B242-C242</f>
        <v>25557</v>
      </c>
      <c r="E242" s="72">
        <f>A242-D242</f>
        <v>277.20400000000154</v>
      </c>
      <c r="F242" t="s">
        <v>131</v>
      </c>
      <c r="G242" s="1">
        <v>45234</v>
      </c>
      <c r="H242" t="s">
        <v>233</v>
      </c>
      <c r="I242" t="s">
        <v>94</v>
      </c>
      <c r="J242" t="s">
        <v>1</v>
      </c>
      <c r="K242" t="s">
        <v>2</v>
      </c>
      <c r="L242" t="s">
        <v>3</v>
      </c>
      <c r="M242" t="s">
        <v>4</v>
      </c>
      <c r="N242" s="2">
        <v>15390</v>
      </c>
      <c r="O242" s="2">
        <v>15377.026</v>
      </c>
      <c r="P242" s="2">
        <v>12927.602000000001</v>
      </c>
      <c r="Q242" t="s">
        <v>48</v>
      </c>
      <c r="R242" t="s">
        <v>6</v>
      </c>
      <c r="S242" t="s">
        <v>132</v>
      </c>
      <c r="T242" t="s">
        <v>8</v>
      </c>
    </row>
    <row r="243" spans="1:20" x14ac:dyDescent="0.25">
      <c r="A243" s="74"/>
      <c r="B243" s="74"/>
      <c r="C243" s="71"/>
      <c r="D243" s="74"/>
      <c r="E243" s="72"/>
      <c r="F243" t="s">
        <v>131</v>
      </c>
      <c r="G243" s="1">
        <v>45234</v>
      </c>
      <c r="H243" t="s">
        <v>244</v>
      </c>
      <c r="I243" t="s">
        <v>94</v>
      </c>
      <c r="J243" t="s">
        <v>1</v>
      </c>
      <c r="K243" t="s">
        <v>2</v>
      </c>
      <c r="L243" t="s">
        <v>3</v>
      </c>
      <c r="M243" t="s">
        <v>4</v>
      </c>
      <c r="N243" s="2">
        <v>15365</v>
      </c>
      <c r="O243" s="2">
        <v>15352.047</v>
      </c>
      <c r="P243" s="2">
        <v>12906.602000000001</v>
      </c>
      <c r="Q243" t="s">
        <v>48</v>
      </c>
      <c r="R243" t="s">
        <v>6</v>
      </c>
      <c r="S243" t="s">
        <v>132</v>
      </c>
      <c r="T243" t="s">
        <v>8</v>
      </c>
    </row>
    <row r="244" spans="1:20" x14ac:dyDescent="0.25">
      <c r="A244" s="74">
        <f>P244+P245+P246+P247</f>
        <v>25246.309000000001</v>
      </c>
      <c r="B244" s="74" t="str">
        <f>'Весы 04.11.2023'!I55</f>
        <v>25050</v>
      </c>
      <c r="C244" s="70" t="str">
        <f>'Весы 04.11.2023'!K55</f>
        <v>-11</v>
      </c>
      <c r="D244" s="74">
        <f>B244-C244</f>
        <v>25061</v>
      </c>
      <c r="E244" s="72">
        <f>A244-D244</f>
        <v>185.30900000000111</v>
      </c>
      <c r="F244" t="s">
        <v>165</v>
      </c>
      <c r="G244" s="1">
        <v>45234</v>
      </c>
      <c r="H244" t="s">
        <v>183</v>
      </c>
      <c r="I244" t="s">
        <v>27</v>
      </c>
      <c r="J244" t="s">
        <v>16</v>
      </c>
      <c r="K244" t="s">
        <v>17</v>
      </c>
      <c r="L244" t="s">
        <v>3</v>
      </c>
      <c r="M244" t="s">
        <v>4</v>
      </c>
      <c r="N244" s="2">
        <v>5500</v>
      </c>
      <c r="O244" s="2">
        <v>5506.6059999999998</v>
      </c>
      <c r="P244" s="2">
        <v>4130.5020000000004</v>
      </c>
      <c r="Q244" t="s">
        <v>49</v>
      </c>
      <c r="R244" t="s">
        <v>6</v>
      </c>
      <c r="S244" t="s">
        <v>185</v>
      </c>
      <c r="T244" t="s">
        <v>8</v>
      </c>
    </row>
    <row r="245" spans="1:20" x14ac:dyDescent="0.25">
      <c r="A245" s="74"/>
      <c r="B245" s="74"/>
      <c r="C245" s="71"/>
      <c r="D245" s="74"/>
      <c r="E245" s="72"/>
      <c r="F245" t="s">
        <v>165</v>
      </c>
      <c r="G245" s="1">
        <v>45234</v>
      </c>
      <c r="H245" t="s">
        <v>183</v>
      </c>
      <c r="I245" t="s">
        <v>88</v>
      </c>
      <c r="J245" t="s">
        <v>11</v>
      </c>
      <c r="K245" t="s">
        <v>12</v>
      </c>
      <c r="L245" t="s">
        <v>3</v>
      </c>
      <c r="M245" t="s">
        <v>4</v>
      </c>
      <c r="N245" s="2">
        <v>9400</v>
      </c>
      <c r="O245" s="2">
        <v>9411.2990000000009</v>
      </c>
      <c r="P245" s="2">
        <v>7054.7020000000002</v>
      </c>
      <c r="Q245" t="s">
        <v>49</v>
      </c>
      <c r="R245" t="s">
        <v>6</v>
      </c>
      <c r="S245" t="s">
        <v>185</v>
      </c>
      <c r="T245" t="s">
        <v>8</v>
      </c>
    </row>
    <row r="246" spans="1:20" x14ac:dyDescent="0.25">
      <c r="A246" s="74"/>
      <c r="B246" s="74"/>
      <c r="C246" s="71"/>
      <c r="D246" s="74"/>
      <c r="E246" s="72"/>
      <c r="F246" t="s">
        <v>165</v>
      </c>
      <c r="G246" s="1">
        <v>45234</v>
      </c>
      <c r="H246" t="s">
        <v>183</v>
      </c>
      <c r="I246" t="s">
        <v>74</v>
      </c>
      <c r="J246" t="s">
        <v>1</v>
      </c>
      <c r="K246" t="s">
        <v>2</v>
      </c>
      <c r="L246" t="s">
        <v>3</v>
      </c>
      <c r="M246" t="s">
        <v>4</v>
      </c>
      <c r="N246" s="2">
        <v>11200</v>
      </c>
      <c r="O246" s="2">
        <v>11190.57</v>
      </c>
      <c r="P246" s="2">
        <v>9413.6049999999996</v>
      </c>
      <c r="Q246" t="s">
        <v>48</v>
      </c>
      <c r="R246" t="s">
        <v>6</v>
      </c>
      <c r="S246" t="s">
        <v>185</v>
      </c>
      <c r="T246" t="s">
        <v>8</v>
      </c>
    </row>
    <row r="247" spans="1:20" x14ac:dyDescent="0.25">
      <c r="A247" s="74"/>
      <c r="B247" s="74"/>
      <c r="C247" s="71"/>
      <c r="D247" s="74"/>
      <c r="E247" s="72"/>
      <c r="F247" t="s">
        <v>165</v>
      </c>
      <c r="G247" s="1">
        <v>45234</v>
      </c>
      <c r="H247" t="s">
        <v>183</v>
      </c>
      <c r="I247" t="s">
        <v>168</v>
      </c>
      <c r="J247" t="s">
        <v>124</v>
      </c>
      <c r="K247" t="s">
        <v>125</v>
      </c>
      <c r="L247" t="s">
        <v>3</v>
      </c>
      <c r="M247" t="s">
        <v>4</v>
      </c>
      <c r="N247" s="2">
        <v>5500</v>
      </c>
      <c r="O247" s="2">
        <v>5500</v>
      </c>
      <c r="P247" s="2">
        <v>4647.5</v>
      </c>
      <c r="Q247" t="s">
        <v>39</v>
      </c>
      <c r="R247" t="s">
        <v>6</v>
      </c>
      <c r="S247" t="s">
        <v>185</v>
      </c>
      <c r="T247" t="s">
        <v>8</v>
      </c>
    </row>
    <row r="248" spans="1:20" x14ac:dyDescent="0.25">
      <c r="A248" s="74">
        <f t="shared" ref="A248" si="123">P248+P249+P250+P251</f>
        <v>25300.704999999998</v>
      </c>
      <c r="B248" s="74" t="str">
        <f>'Весы 04.11.2023'!I60</f>
        <v>25050</v>
      </c>
      <c r="C248" s="70" t="str">
        <f>'Весы 04.11.2023'!K60</f>
        <v>-24</v>
      </c>
      <c r="D248" s="74">
        <f>B248-C248</f>
        <v>25074</v>
      </c>
      <c r="E248" s="72">
        <f>A248-D248</f>
        <v>226.70499999999811</v>
      </c>
      <c r="F248" t="s">
        <v>107</v>
      </c>
      <c r="G248" s="1">
        <v>45234</v>
      </c>
      <c r="H248" t="s">
        <v>258</v>
      </c>
      <c r="I248" t="s">
        <v>74</v>
      </c>
      <c r="J248" t="s">
        <v>1</v>
      </c>
      <c r="K248" t="s">
        <v>2</v>
      </c>
      <c r="L248" t="s">
        <v>3</v>
      </c>
      <c r="M248" t="s">
        <v>4</v>
      </c>
      <c r="N248" s="2">
        <v>10100</v>
      </c>
      <c r="O248" s="2">
        <v>10091.495999999999</v>
      </c>
      <c r="P248" s="2">
        <v>8489.0540000000001</v>
      </c>
      <c r="Q248" t="s">
        <v>48</v>
      </c>
      <c r="R248" t="s">
        <v>23</v>
      </c>
      <c r="S248" t="s">
        <v>108</v>
      </c>
      <c r="T248" t="s">
        <v>8</v>
      </c>
    </row>
    <row r="249" spans="1:20" x14ac:dyDescent="0.25">
      <c r="A249" s="74"/>
      <c r="B249" s="74"/>
      <c r="C249" s="71"/>
      <c r="D249" s="74"/>
      <c r="E249" s="72"/>
      <c r="F249" t="s">
        <v>107</v>
      </c>
      <c r="G249" s="1">
        <v>45234</v>
      </c>
      <c r="H249" t="s">
        <v>258</v>
      </c>
      <c r="I249" t="s">
        <v>30</v>
      </c>
      <c r="J249" t="s">
        <v>11</v>
      </c>
      <c r="K249" t="s">
        <v>12</v>
      </c>
      <c r="L249" t="s">
        <v>3</v>
      </c>
      <c r="M249" t="s">
        <v>4</v>
      </c>
      <c r="N249" s="2">
        <v>7800</v>
      </c>
      <c r="O249" s="2">
        <v>7809.3829999999998</v>
      </c>
      <c r="P249" s="2">
        <v>5850</v>
      </c>
      <c r="Q249" t="s">
        <v>49</v>
      </c>
      <c r="R249" t="s">
        <v>23</v>
      </c>
      <c r="S249" t="s">
        <v>108</v>
      </c>
      <c r="T249" t="s">
        <v>8</v>
      </c>
    </row>
    <row r="250" spans="1:20" x14ac:dyDescent="0.25">
      <c r="A250" s="74"/>
      <c r="B250" s="74"/>
      <c r="C250" s="71"/>
      <c r="D250" s="74"/>
      <c r="E250" s="72"/>
      <c r="F250" t="s">
        <v>107</v>
      </c>
      <c r="G250" s="1">
        <v>45234</v>
      </c>
      <c r="H250" t="s">
        <v>258</v>
      </c>
      <c r="I250" t="s">
        <v>133</v>
      </c>
      <c r="J250" t="s">
        <v>20</v>
      </c>
      <c r="K250" t="s">
        <v>21</v>
      </c>
      <c r="L250" t="s">
        <v>3</v>
      </c>
      <c r="M250" t="s">
        <v>4</v>
      </c>
      <c r="N250" s="2">
        <v>7700</v>
      </c>
      <c r="O250" s="2">
        <v>7693.54</v>
      </c>
      <c r="P250" s="2">
        <v>6491.1009999999997</v>
      </c>
      <c r="Q250" t="s">
        <v>48</v>
      </c>
      <c r="R250" t="s">
        <v>23</v>
      </c>
      <c r="S250" t="s">
        <v>108</v>
      </c>
      <c r="T250" t="s">
        <v>8</v>
      </c>
    </row>
    <row r="251" spans="1:20" x14ac:dyDescent="0.25">
      <c r="A251" s="74"/>
      <c r="B251" s="74"/>
      <c r="C251" s="71"/>
      <c r="D251" s="74"/>
      <c r="E251" s="72"/>
      <c r="F251" t="s">
        <v>107</v>
      </c>
      <c r="G251" s="1">
        <v>45234</v>
      </c>
      <c r="H251" t="s">
        <v>258</v>
      </c>
      <c r="I251" t="s">
        <v>155</v>
      </c>
      <c r="J251" t="s">
        <v>124</v>
      </c>
      <c r="K251" t="s">
        <v>125</v>
      </c>
      <c r="L251" t="s">
        <v>3</v>
      </c>
      <c r="M251" t="s">
        <v>4</v>
      </c>
      <c r="N251" s="2">
        <v>5300</v>
      </c>
      <c r="O251" s="2">
        <v>5300</v>
      </c>
      <c r="P251" s="2">
        <v>4470.55</v>
      </c>
      <c r="Q251" t="s">
        <v>39</v>
      </c>
      <c r="R251" t="s">
        <v>23</v>
      </c>
      <c r="S251" t="s">
        <v>108</v>
      </c>
      <c r="T251" t="s">
        <v>8</v>
      </c>
    </row>
    <row r="252" spans="1:20" x14ac:dyDescent="0.25">
      <c r="A252" s="74">
        <f t="shared" ref="A252" si="124">P252+P253+P254+P255</f>
        <v>26860.002</v>
      </c>
      <c r="B252" s="74" t="str">
        <f>'Весы 04.11.2023'!I59</f>
        <v>26590</v>
      </c>
      <c r="C252" s="70" t="str">
        <f>'Весы 04.11.2023'!K59</f>
        <v>-23</v>
      </c>
      <c r="D252" s="74">
        <f>B252-C252</f>
        <v>26613</v>
      </c>
      <c r="E252" s="72">
        <f>A252-D252</f>
        <v>247.00200000000041</v>
      </c>
      <c r="F252" t="s">
        <v>32</v>
      </c>
      <c r="G252" s="1">
        <v>45234</v>
      </c>
      <c r="H252" t="s">
        <v>247</v>
      </c>
      <c r="I252" t="s">
        <v>141</v>
      </c>
      <c r="J252" t="s">
        <v>16</v>
      </c>
      <c r="K252" t="s">
        <v>17</v>
      </c>
      <c r="L252" t="s">
        <v>3</v>
      </c>
      <c r="M252" t="s">
        <v>4</v>
      </c>
      <c r="N252" s="2">
        <v>5000</v>
      </c>
      <c r="O252" s="2">
        <v>5000</v>
      </c>
      <c r="P252" s="2">
        <v>3767.5</v>
      </c>
      <c r="Q252" t="s">
        <v>39</v>
      </c>
      <c r="R252" t="s">
        <v>23</v>
      </c>
      <c r="S252" t="s">
        <v>34</v>
      </c>
      <c r="T252" t="s">
        <v>8</v>
      </c>
    </row>
    <row r="253" spans="1:20" x14ac:dyDescent="0.25">
      <c r="A253" s="74"/>
      <c r="B253" s="74"/>
      <c r="C253" s="71"/>
      <c r="D253" s="74"/>
      <c r="E253" s="72"/>
      <c r="F253" t="s">
        <v>32</v>
      </c>
      <c r="G253" s="1">
        <v>45234</v>
      </c>
      <c r="H253" t="s">
        <v>247</v>
      </c>
      <c r="I253" t="s">
        <v>10</v>
      </c>
      <c r="J253" t="s">
        <v>11</v>
      </c>
      <c r="K253" t="s">
        <v>12</v>
      </c>
      <c r="L253" t="s">
        <v>3</v>
      </c>
      <c r="M253" t="s">
        <v>4</v>
      </c>
      <c r="N253" s="2">
        <v>10000</v>
      </c>
      <c r="O253" s="2">
        <v>10000</v>
      </c>
      <c r="P253" s="2">
        <v>7515</v>
      </c>
      <c r="Q253" t="s">
        <v>39</v>
      </c>
      <c r="R253" t="s">
        <v>23</v>
      </c>
      <c r="S253" t="s">
        <v>34</v>
      </c>
      <c r="T253" t="s">
        <v>8</v>
      </c>
    </row>
    <row r="254" spans="1:20" x14ac:dyDescent="0.25">
      <c r="A254" s="74"/>
      <c r="B254" s="74"/>
      <c r="C254" s="71"/>
      <c r="D254" s="74"/>
      <c r="E254" s="72"/>
      <c r="F254" t="s">
        <v>32</v>
      </c>
      <c r="G254" s="1">
        <v>45234</v>
      </c>
      <c r="H254" t="s">
        <v>247</v>
      </c>
      <c r="I254" t="s">
        <v>133</v>
      </c>
      <c r="J254" t="s">
        <v>20</v>
      </c>
      <c r="K254" t="s">
        <v>21</v>
      </c>
      <c r="L254" t="s">
        <v>3</v>
      </c>
      <c r="M254" t="s">
        <v>4</v>
      </c>
      <c r="N254" s="2">
        <v>6500</v>
      </c>
      <c r="O254" s="2">
        <v>6505.4669999999996</v>
      </c>
      <c r="P254" s="2">
        <v>5479.5020000000004</v>
      </c>
      <c r="Q254" t="s">
        <v>49</v>
      </c>
      <c r="R254" t="s">
        <v>23</v>
      </c>
      <c r="S254" t="s">
        <v>34</v>
      </c>
      <c r="T254" t="s">
        <v>8</v>
      </c>
    </row>
    <row r="255" spans="1:20" x14ac:dyDescent="0.25">
      <c r="A255" s="74"/>
      <c r="B255" s="74"/>
      <c r="C255" s="71"/>
      <c r="D255" s="74"/>
      <c r="E255" s="72"/>
      <c r="F255" t="s">
        <v>32</v>
      </c>
      <c r="G255" s="1">
        <v>45234</v>
      </c>
      <c r="H255" t="s">
        <v>247</v>
      </c>
      <c r="I255" t="s">
        <v>166</v>
      </c>
      <c r="J255" t="s">
        <v>1</v>
      </c>
      <c r="K255" t="s">
        <v>2</v>
      </c>
      <c r="L255" t="s">
        <v>3</v>
      </c>
      <c r="M255" t="s">
        <v>4</v>
      </c>
      <c r="N255" s="2">
        <v>12000</v>
      </c>
      <c r="O255" s="2">
        <v>12000</v>
      </c>
      <c r="P255" s="2">
        <v>10098</v>
      </c>
      <c r="Q255" t="s">
        <v>39</v>
      </c>
      <c r="R255" t="s">
        <v>23</v>
      </c>
      <c r="S255" t="s">
        <v>34</v>
      </c>
      <c r="T255" t="s">
        <v>8</v>
      </c>
    </row>
    <row r="256" spans="1:20" x14ac:dyDescent="0.25">
      <c r="A256" s="74">
        <f>P256+P257+P258</f>
        <v>24963.019</v>
      </c>
      <c r="B256" s="74" t="str">
        <f>'Весы 04.11.2023'!I58</f>
        <v>24700</v>
      </c>
      <c r="C256" s="70" t="str">
        <f>'Весы 04.11.2023'!K58</f>
        <v>-45</v>
      </c>
      <c r="D256" s="74">
        <f>B256-C256</f>
        <v>24745</v>
      </c>
      <c r="E256" s="72">
        <f>A256-D256</f>
        <v>218.01900000000023</v>
      </c>
      <c r="F256" t="s">
        <v>58</v>
      </c>
      <c r="G256" s="1">
        <v>45234</v>
      </c>
      <c r="H256" t="s">
        <v>159</v>
      </c>
      <c r="I256" t="s">
        <v>93</v>
      </c>
      <c r="J256" t="s">
        <v>16</v>
      </c>
      <c r="K256" t="s">
        <v>17</v>
      </c>
      <c r="L256" t="s">
        <v>3</v>
      </c>
      <c r="M256" t="s">
        <v>4</v>
      </c>
      <c r="N256" s="2">
        <v>5005</v>
      </c>
      <c r="O256" s="2">
        <v>5005</v>
      </c>
      <c r="P256" s="2">
        <v>3768.7649999999999</v>
      </c>
      <c r="Q256" t="s">
        <v>39</v>
      </c>
      <c r="R256" t="s">
        <v>23</v>
      </c>
      <c r="S256" t="s">
        <v>59</v>
      </c>
      <c r="T256" t="s">
        <v>8</v>
      </c>
    </row>
    <row r="257" spans="1:20" x14ac:dyDescent="0.25">
      <c r="A257" s="74"/>
      <c r="B257" s="74"/>
      <c r="C257" s="71"/>
      <c r="D257" s="74"/>
      <c r="E257" s="72"/>
      <c r="F257" t="s">
        <v>58</v>
      </c>
      <c r="G257" s="1">
        <v>45234</v>
      </c>
      <c r="H257" t="s">
        <v>159</v>
      </c>
      <c r="I257" t="s">
        <v>10</v>
      </c>
      <c r="J257" t="s">
        <v>11</v>
      </c>
      <c r="K257" t="s">
        <v>12</v>
      </c>
      <c r="L257" t="s">
        <v>3</v>
      </c>
      <c r="M257" t="s">
        <v>4</v>
      </c>
      <c r="N257" s="2">
        <v>17005</v>
      </c>
      <c r="O257" s="2">
        <v>17025.388999999999</v>
      </c>
      <c r="P257" s="2">
        <v>12779.253000000001</v>
      </c>
      <c r="Q257" t="s">
        <v>49</v>
      </c>
      <c r="R257" t="s">
        <v>23</v>
      </c>
      <c r="S257" t="s">
        <v>59</v>
      </c>
      <c r="T257" t="s">
        <v>8</v>
      </c>
    </row>
    <row r="258" spans="1:20" x14ac:dyDescent="0.25">
      <c r="A258" s="74"/>
      <c r="B258" s="74"/>
      <c r="C258" s="71"/>
      <c r="D258" s="74"/>
      <c r="E258" s="72"/>
      <c r="F258" t="s">
        <v>58</v>
      </c>
      <c r="G258" s="1">
        <v>45234</v>
      </c>
      <c r="H258" t="s">
        <v>159</v>
      </c>
      <c r="I258" t="s">
        <v>166</v>
      </c>
      <c r="J258" t="s">
        <v>1</v>
      </c>
      <c r="K258" t="s">
        <v>2</v>
      </c>
      <c r="L258" t="s">
        <v>3</v>
      </c>
      <c r="M258" t="s">
        <v>4</v>
      </c>
      <c r="N258" s="2">
        <v>10000</v>
      </c>
      <c r="O258" s="2">
        <v>9991.59</v>
      </c>
      <c r="P258" s="2">
        <v>8415.0010000000002</v>
      </c>
      <c r="Q258" t="s">
        <v>48</v>
      </c>
      <c r="R258" t="s">
        <v>23</v>
      </c>
      <c r="S258" t="s">
        <v>59</v>
      </c>
      <c r="T258" t="s">
        <v>8</v>
      </c>
    </row>
    <row r="259" spans="1:20" x14ac:dyDescent="0.25">
      <c r="A259" s="74">
        <f>SUM(P259:P266)</f>
        <v>23766.023000000001</v>
      </c>
      <c r="B259" s="74"/>
      <c r="C259" s="70"/>
      <c r="D259" s="74"/>
      <c r="E259" s="70"/>
      <c r="F259" t="s">
        <v>22</v>
      </c>
      <c r="G259" s="1">
        <v>45234</v>
      </c>
      <c r="H259" t="s">
        <v>134</v>
      </c>
      <c r="I259" t="s">
        <v>141</v>
      </c>
      <c r="J259" t="s">
        <v>16</v>
      </c>
      <c r="K259" t="s">
        <v>17</v>
      </c>
      <c r="L259" t="s">
        <v>3</v>
      </c>
      <c r="M259" t="s">
        <v>4</v>
      </c>
      <c r="N259" s="2">
        <v>5965</v>
      </c>
      <c r="O259" s="2">
        <v>5965</v>
      </c>
      <c r="P259" s="2">
        <v>4494.6279999999997</v>
      </c>
      <c r="Q259" t="s">
        <v>39</v>
      </c>
      <c r="R259" t="s">
        <v>23</v>
      </c>
      <c r="S259" t="s">
        <v>24</v>
      </c>
      <c r="T259" t="s">
        <v>8</v>
      </c>
    </row>
    <row r="260" spans="1:20" x14ac:dyDescent="0.25">
      <c r="A260" s="74"/>
      <c r="B260" s="74"/>
      <c r="C260" s="71"/>
      <c r="D260" s="74"/>
      <c r="E260" s="71"/>
      <c r="F260" t="s">
        <v>22</v>
      </c>
      <c r="G260" s="1">
        <v>45234</v>
      </c>
      <c r="H260" t="s">
        <v>134</v>
      </c>
      <c r="I260" t="s">
        <v>10</v>
      </c>
      <c r="J260" t="s">
        <v>11</v>
      </c>
      <c r="K260" t="s">
        <v>12</v>
      </c>
      <c r="L260" t="s">
        <v>3</v>
      </c>
      <c r="M260" t="s">
        <v>4</v>
      </c>
      <c r="N260" s="2">
        <v>6050</v>
      </c>
      <c r="O260" s="2">
        <v>6050</v>
      </c>
      <c r="P260" s="2">
        <v>4546.5749999999998</v>
      </c>
      <c r="Q260" t="s">
        <v>39</v>
      </c>
      <c r="R260" t="s">
        <v>23</v>
      </c>
      <c r="S260" t="s">
        <v>24</v>
      </c>
      <c r="T260" t="s">
        <v>8</v>
      </c>
    </row>
    <row r="261" spans="1:20" x14ac:dyDescent="0.25">
      <c r="A261" s="74"/>
      <c r="B261" s="74"/>
      <c r="C261" s="71"/>
      <c r="D261" s="74"/>
      <c r="E261" s="71"/>
      <c r="F261" t="s">
        <v>22</v>
      </c>
      <c r="G261" s="1">
        <v>45234</v>
      </c>
      <c r="H261" t="s">
        <v>134</v>
      </c>
      <c r="I261" t="s">
        <v>142</v>
      </c>
      <c r="J261" t="s">
        <v>20</v>
      </c>
      <c r="K261" t="s">
        <v>21</v>
      </c>
      <c r="L261" t="s">
        <v>3</v>
      </c>
      <c r="M261" t="s">
        <v>4</v>
      </c>
      <c r="N261" s="2">
        <v>4050</v>
      </c>
      <c r="O261" s="2">
        <v>4050</v>
      </c>
      <c r="P261" s="2">
        <v>3412.125</v>
      </c>
      <c r="Q261" t="s">
        <v>39</v>
      </c>
      <c r="R261" t="s">
        <v>23</v>
      </c>
      <c r="S261" t="s">
        <v>24</v>
      </c>
      <c r="T261" t="s">
        <v>8</v>
      </c>
    </row>
    <row r="262" spans="1:20" x14ac:dyDescent="0.25">
      <c r="A262" s="74"/>
      <c r="B262" s="74"/>
      <c r="C262" s="71"/>
      <c r="D262" s="74"/>
      <c r="E262" s="71"/>
      <c r="F262" t="s">
        <v>22</v>
      </c>
      <c r="G262" s="1">
        <v>45234</v>
      </c>
      <c r="H262" t="s">
        <v>134</v>
      </c>
      <c r="I262" t="s">
        <v>74</v>
      </c>
      <c r="J262" t="s">
        <v>1</v>
      </c>
      <c r="K262" t="s">
        <v>2</v>
      </c>
      <c r="L262" t="s">
        <v>3</v>
      </c>
      <c r="M262" t="s">
        <v>4</v>
      </c>
      <c r="N262" s="2">
        <v>4950</v>
      </c>
      <c r="O262" s="2">
        <v>4950</v>
      </c>
      <c r="P262" s="2">
        <v>4160.4750000000004</v>
      </c>
      <c r="Q262" t="s">
        <v>39</v>
      </c>
      <c r="R262" t="s">
        <v>23</v>
      </c>
      <c r="S262" t="s">
        <v>24</v>
      </c>
      <c r="T262" t="s">
        <v>8</v>
      </c>
    </row>
    <row r="263" spans="1:20" x14ac:dyDescent="0.25">
      <c r="A263" s="74"/>
      <c r="B263" s="74"/>
      <c r="C263" s="71"/>
      <c r="D263" s="74"/>
      <c r="E263" s="71"/>
      <c r="F263" t="s">
        <v>22</v>
      </c>
      <c r="G263" s="1">
        <v>45234</v>
      </c>
      <c r="H263" t="s">
        <v>134</v>
      </c>
      <c r="I263" t="s">
        <v>144</v>
      </c>
      <c r="J263" t="s">
        <v>124</v>
      </c>
      <c r="K263" t="s">
        <v>125</v>
      </c>
      <c r="L263" t="s">
        <v>3</v>
      </c>
      <c r="M263" t="s">
        <v>4</v>
      </c>
      <c r="N263" s="2">
        <v>3055</v>
      </c>
      <c r="O263" s="2">
        <v>3057.5630000000001</v>
      </c>
      <c r="P263" s="2">
        <v>2578.4189999999999</v>
      </c>
      <c r="Q263" t="s">
        <v>49</v>
      </c>
      <c r="R263" t="s">
        <v>23</v>
      </c>
      <c r="S263" t="s">
        <v>24</v>
      </c>
      <c r="T263" t="s">
        <v>8</v>
      </c>
    </row>
    <row r="264" spans="1:20" x14ac:dyDescent="0.25">
      <c r="E264" s="68">
        <f>SUM(E215:E263)</f>
        <v>2957.6830000000045</v>
      </c>
      <c r="G264" s="1"/>
      <c r="N264" s="2"/>
      <c r="O264" s="2"/>
      <c r="P264" s="2"/>
    </row>
    <row r="265" spans="1:20" x14ac:dyDescent="0.25">
      <c r="E265" s="69"/>
      <c r="G265" s="1"/>
      <c r="N265" s="2"/>
      <c r="O265" s="2"/>
      <c r="P265" s="2"/>
    </row>
    <row r="266" spans="1:20" x14ac:dyDescent="0.25">
      <c r="A266" s="74">
        <f>P266+P267+P268</f>
        <v>18861.298999999999</v>
      </c>
      <c r="B266" s="74" t="str">
        <f>'Весы 06.11.2023'!I54</f>
        <v>18670</v>
      </c>
      <c r="C266" s="70" t="str">
        <f>'Весы 06.11.2023'!K54</f>
        <v>-23</v>
      </c>
      <c r="D266" s="74">
        <f>B266-C266</f>
        <v>18693</v>
      </c>
      <c r="E266" s="72">
        <f>A266-D266</f>
        <v>168.29899999999907</v>
      </c>
      <c r="F266" t="s">
        <v>22</v>
      </c>
      <c r="G266" s="1">
        <v>45236</v>
      </c>
      <c r="H266" t="s">
        <v>194</v>
      </c>
      <c r="I266" t="s">
        <v>158</v>
      </c>
      <c r="J266" t="s">
        <v>16</v>
      </c>
      <c r="K266" t="s">
        <v>17</v>
      </c>
      <c r="L266" t="s">
        <v>3</v>
      </c>
      <c r="M266" t="s">
        <v>4</v>
      </c>
      <c r="N266" s="2">
        <v>6050</v>
      </c>
      <c r="O266" s="2">
        <v>6086.1610000000001</v>
      </c>
      <c r="P266" s="2">
        <v>4573.8010000000004</v>
      </c>
      <c r="Q266" t="s">
        <v>75</v>
      </c>
      <c r="R266" t="s">
        <v>23</v>
      </c>
      <c r="S266" t="s">
        <v>24</v>
      </c>
      <c r="T266" t="s">
        <v>8</v>
      </c>
    </row>
    <row r="267" spans="1:20" x14ac:dyDescent="0.25">
      <c r="A267" s="74"/>
      <c r="B267" s="74"/>
      <c r="C267" s="71"/>
      <c r="D267" s="74"/>
      <c r="E267" s="72"/>
      <c r="F267" t="s">
        <v>22</v>
      </c>
      <c r="G267" s="1">
        <v>45236</v>
      </c>
      <c r="H267" t="s">
        <v>194</v>
      </c>
      <c r="I267" t="s">
        <v>109</v>
      </c>
      <c r="J267" t="s">
        <v>11</v>
      </c>
      <c r="K267" t="s">
        <v>12</v>
      </c>
      <c r="L267" t="s">
        <v>3</v>
      </c>
      <c r="M267" t="s">
        <v>4</v>
      </c>
      <c r="N267" s="2">
        <v>10015</v>
      </c>
      <c r="O267" s="2">
        <v>10075.34</v>
      </c>
      <c r="P267" s="2">
        <v>7531.277</v>
      </c>
      <c r="Q267" t="s">
        <v>75</v>
      </c>
      <c r="R267" t="s">
        <v>23</v>
      </c>
      <c r="S267" t="s">
        <v>24</v>
      </c>
      <c r="T267" t="s">
        <v>8</v>
      </c>
    </row>
    <row r="268" spans="1:20" x14ac:dyDescent="0.25">
      <c r="A268" s="74"/>
      <c r="B268" s="74"/>
      <c r="C268" s="71"/>
      <c r="D268" s="74"/>
      <c r="E268" s="72"/>
      <c r="F268" t="s">
        <v>22</v>
      </c>
      <c r="G268" s="1">
        <v>45236</v>
      </c>
      <c r="H268" t="s">
        <v>194</v>
      </c>
      <c r="I268" t="s">
        <v>144</v>
      </c>
      <c r="J268" t="s">
        <v>1</v>
      </c>
      <c r="K268" t="s">
        <v>2</v>
      </c>
      <c r="L268" t="s">
        <v>3</v>
      </c>
      <c r="M268" t="s">
        <v>4</v>
      </c>
      <c r="N268" s="2">
        <v>8005</v>
      </c>
      <c r="O268" s="2">
        <v>8031.9449999999997</v>
      </c>
      <c r="P268" s="2">
        <v>6756.2209999999995</v>
      </c>
      <c r="Q268" t="s">
        <v>73</v>
      </c>
      <c r="R268" t="s">
        <v>23</v>
      </c>
      <c r="S268" t="s">
        <v>24</v>
      </c>
      <c r="T268" t="s">
        <v>8</v>
      </c>
    </row>
    <row r="269" spans="1:20" x14ac:dyDescent="0.25">
      <c r="A269" s="74">
        <f>P269+P270+P271+P272</f>
        <v>25845.976999999999</v>
      </c>
      <c r="B269" s="74" t="str">
        <f>'Весы 06.11.2023'!I70</f>
        <v>25540</v>
      </c>
      <c r="C269" s="74" t="str">
        <f>'Весы 06.11.2023'!K70</f>
        <v>-39</v>
      </c>
      <c r="D269" s="74">
        <f>B269-C269</f>
        <v>25579</v>
      </c>
      <c r="E269" s="72">
        <f>A269-D269</f>
        <v>266.97699999999895</v>
      </c>
      <c r="F269" t="s">
        <v>70</v>
      </c>
      <c r="G269" s="1">
        <v>45236</v>
      </c>
      <c r="H269" t="s">
        <v>216</v>
      </c>
      <c r="I269" t="s">
        <v>93</v>
      </c>
      <c r="J269" t="s">
        <v>11</v>
      </c>
      <c r="K269" t="s">
        <v>12</v>
      </c>
      <c r="L269" t="s">
        <v>3</v>
      </c>
      <c r="M269" t="s">
        <v>4</v>
      </c>
      <c r="N269" s="2">
        <v>6400</v>
      </c>
      <c r="O269" s="2">
        <v>6415.3280000000004</v>
      </c>
      <c r="P269" s="2">
        <v>4819.201</v>
      </c>
      <c r="Q269" t="s">
        <v>55</v>
      </c>
      <c r="R269" t="s">
        <v>23</v>
      </c>
      <c r="S269" t="s">
        <v>71</v>
      </c>
      <c r="T269" t="s">
        <v>8</v>
      </c>
    </row>
    <row r="270" spans="1:20" x14ac:dyDescent="0.25">
      <c r="A270" s="74"/>
      <c r="B270" s="74"/>
      <c r="C270" s="74"/>
      <c r="D270" s="74"/>
      <c r="E270" s="72"/>
      <c r="F270" t="s">
        <v>70</v>
      </c>
      <c r="G270" s="1">
        <v>45236</v>
      </c>
      <c r="H270" t="s">
        <v>216</v>
      </c>
      <c r="I270" t="s">
        <v>133</v>
      </c>
      <c r="J270" t="s">
        <v>1</v>
      </c>
      <c r="K270" t="s">
        <v>2</v>
      </c>
      <c r="L270" t="s">
        <v>3</v>
      </c>
      <c r="M270" t="s">
        <v>4</v>
      </c>
      <c r="N270" s="2">
        <v>6410</v>
      </c>
      <c r="O270" s="2">
        <v>6410</v>
      </c>
      <c r="P270" s="2">
        <v>5403.63</v>
      </c>
      <c r="Q270" t="s">
        <v>39</v>
      </c>
      <c r="R270" t="s">
        <v>23</v>
      </c>
      <c r="S270" t="s">
        <v>71</v>
      </c>
      <c r="T270" t="s">
        <v>8</v>
      </c>
    </row>
    <row r="271" spans="1:20" x14ac:dyDescent="0.25">
      <c r="A271" s="74"/>
      <c r="B271" s="74"/>
      <c r="C271" s="74"/>
      <c r="D271" s="74"/>
      <c r="E271" s="72"/>
      <c r="F271" t="s">
        <v>70</v>
      </c>
      <c r="G271" s="1">
        <v>45236</v>
      </c>
      <c r="H271" t="s">
        <v>195</v>
      </c>
      <c r="I271" t="s">
        <v>93</v>
      </c>
      <c r="J271" t="s">
        <v>11</v>
      </c>
      <c r="K271" t="s">
        <v>12</v>
      </c>
      <c r="L271" t="s">
        <v>3</v>
      </c>
      <c r="M271" t="s">
        <v>4</v>
      </c>
      <c r="N271" s="2">
        <v>6390</v>
      </c>
      <c r="O271" s="2">
        <v>6405.3040000000001</v>
      </c>
      <c r="P271" s="2">
        <v>4811.6710000000003</v>
      </c>
      <c r="Q271" t="s">
        <v>55</v>
      </c>
      <c r="R271" t="s">
        <v>23</v>
      </c>
      <c r="S271" t="s">
        <v>71</v>
      </c>
      <c r="T271" t="s">
        <v>8</v>
      </c>
    </row>
    <row r="272" spans="1:20" x14ac:dyDescent="0.25">
      <c r="A272" s="74"/>
      <c r="B272" s="74"/>
      <c r="C272" s="74"/>
      <c r="D272" s="74"/>
      <c r="E272" s="72"/>
      <c r="F272" t="s">
        <v>70</v>
      </c>
      <c r="G272" s="1">
        <v>45236</v>
      </c>
      <c r="H272" t="s">
        <v>195</v>
      </c>
      <c r="I272" t="s">
        <v>133</v>
      </c>
      <c r="J272" t="s">
        <v>1</v>
      </c>
      <c r="K272" t="s">
        <v>2</v>
      </c>
      <c r="L272" t="s">
        <v>3</v>
      </c>
      <c r="M272" t="s">
        <v>4</v>
      </c>
      <c r="N272" s="2">
        <v>12825</v>
      </c>
      <c r="O272" s="2">
        <v>12825</v>
      </c>
      <c r="P272" s="2">
        <v>10811.475</v>
      </c>
      <c r="Q272" t="s">
        <v>39</v>
      </c>
      <c r="R272" t="s">
        <v>23</v>
      </c>
      <c r="S272" t="s">
        <v>71</v>
      </c>
      <c r="T272" t="s">
        <v>8</v>
      </c>
    </row>
    <row r="273" spans="1:20" x14ac:dyDescent="0.25">
      <c r="A273" s="79">
        <f>P273+P274+P275</f>
        <v>25281.026999999998</v>
      </c>
      <c r="B273" s="79" t="str">
        <f>'Весы 06.11.2023'!I58</f>
        <v>25040</v>
      </c>
      <c r="C273" s="75" t="str">
        <f>'Весы 06.11.2023'!K58</f>
        <v>-33</v>
      </c>
      <c r="D273" s="79">
        <f>B273-C273</f>
        <v>25073</v>
      </c>
      <c r="E273" s="72">
        <f>A273-D273</f>
        <v>208.02699999999822</v>
      </c>
      <c r="F273" t="s">
        <v>5</v>
      </c>
      <c r="G273" s="1">
        <v>45236</v>
      </c>
      <c r="H273" t="s">
        <v>255</v>
      </c>
      <c r="I273" t="s">
        <v>27</v>
      </c>
      <c r="J273" t="s">
        <v>16</v>
      </c>
      <c r="K273" t="s">
        <v>17</v>
      </c>
      <c r="L273" t="s">
        <v>3</v>
      </c>
      <c r="M273" t="s">
        <v>4</v>
      </c>
      <c r="N273" s="2">
        <v>7695</v>
      </c>
      <c r="O273" s="2">
        <v>7722.7939999999999</v>
      </c>
      <c r="P273" s="2">
        <v>5778.9449999999997</v>
      </c>
      <c r="Q273" t="s">
        <v>51</v>
      </c>
      <c r="R273" t="s">
        <v>6</v>
      </c>
      <c r="S273" t="s">
        <v>102</v>
      </c>
      <c r="T273" t="s">
        <v>8</v>
      </c>
    </row>
    <row r="274" spans="1:20" x14ac:dyDescent="0.25">
      <c r="A274" s="79"/>
      <c r="B274" s="79"/>
      <c r="C274" s="76"/>
      <c r="D274" s="79"/>
      <c r="E274" s="72"/>
      <c r="F274" t="s">
        <v>5</v>
      </c>
      <c r="G274" s="1">
        <v>45236</v>
      </c>
      <c r="H274" t="s">
        <v>255</v>
      </c>
      <c r="I274" t="s">
        <v>133</v>
      </c>
      <c r="J274" t="s">
        <v>20</v>
      </c>
      <c r="K274" t="s">
        <v>21</v>
      </c>
      <c r="L274" t="s">
        <v>3</v>
      </c>
      <c r="M274" t="s">
        <v>4</v>
      </c>
      <c r="N274" s="2">
        <v>7715</v>
      </c>
      <c r="O274" s="2">
        <v>7727.9840000000004</v>
      </c>
      <c r="P274" s="2">
        <v>6503.7470000000003</v>
      </c>
      <c r="Q274" t="s">
        <v>55</v>
      </c>
      <c r="R274" t="s">
        <v>6</v>
      </c>
      <c r="S274" t="s">
        <v>102</v>
      </c>
      <c r="T274" t="s">
        <v>8</v>
      </c>
    </row>
    <row r="275" spans="1:20" x14ac:dyDescent="0.25">
      <c r="A275" s="79"/>
      <c r="B275" s="79"/>
      <c r="C275" s="76"/>
      <c r="D275" s="79"/>
      <c r="E275" s="72"/>
      <c r="F275" t="s">
        <v>5</v>
      </c>
      <c r="G275" s="1">
        <v>45236</v>
      </c>
      <c r="H275" t="s">
        <v>255</v>
      </c>
      <c r="I275" t="s">
        <v>155</v>
      </c>
      <c r="J275" t="s">
        <v>1</v>
      </c>
      <c r="K275" t="s">
        <v>2</v>
      </c>
      <c r="L275" t="s">
        <v>3</v>
      </c>
      <c r="M275" t="s">
        <v>4</v>
      </c>
      <c r="N275" s="2">
        <v>15410</v>
      </c>
      <c r="O275" s="2">
        <v>15422.944</v>
      </c>
      <c r="P275" s="2">
        <v>12998.334999999999</v>
      </c>
      <c r="Q275" t="s">
        <v>49</v>
      </c>
      <c r="R275" t="s">
        <v>6</v>
      </c>
      <c r="S275" t="s">
        <v>102</v>
      </c>
      <c r="T275" t="s">
        <v>8</v>
      </c>
    </row>
    <row r="276" spans="1:20" x14ac:dyDescent="0.25">
      <c r="A276" s="74">
        <f>P276+P277+P278+P279</f>
        <v>26000.727999999999</v>
      </c>
      <c r="B276" s="74" t="str">
        <f>'Весы 06.11.2023'!I55</f>
        <v>25740</v>
      </c>
      <c r="C276" s="70" t="str">
        <f>'Весы 06.11.2023'!K55</f>
        <v>-27</v>
      </c>
      <c r="D276" s="74">
        <f>B276-C276</f>
        <v>25767</v>
      </c>
      <c r="E276" s="72">
        <f>A276-D276</f>
        <v>233.72799999999916</v>
      </c>
      <c r="F276" t="s">
        <v>65</v>
      </c>
      <c r="G276" s="1">
        <v>45236</v>
      </c>
      <c r="H276" t="s">
        <v>218</v>
      </c>
      <c r="I276" t="s">
        <v>88</v>
      </c>
      <c r="J276" t="s">
        <v>16</v>
      </c>
      <c r="K276" t="s">
        <v>17</v>
      </c>
      <c r="L276" t="s">
        <v>3</v>
      </c>
      <c r="M276" t="s">
        <v>4</v>
      </c>
      <c r="N276" s="2">
        <v>4375</v>
      </c>
      <c r="O276" s="2">
        <v>4390.82</v>
      </c>
      <c r="P276" s="2">
        <v>3283.4380000000001</v>
      </c>
      <c r="Q276" t="s">
        <v>51</v>
      </c>
      <c r="R276" t="s">
        <v>6</v>
      </c>
      <c r="S276" t="s">
        <v>66</v>
      </c>
      <c r="T276" t="s">
        <v>8</v>
      </c>
    </row>
    <row r="277" spans="1:20" x14ac:dyDescent="0.25">
      <c r="A277" s="74"/>
      <c r="B277" s="74"/>
      <c r="C277" s="71"/>
      <c r="D277" s="74"/>
      <c r="E277" s="72"/>
      <c r="F277" t="s">
        <v>65</v>
      </c>
      <c r="G277" s="1">
        <v>45236</v>
      </c>
      <c r="H277" t="s">
        <v>218</v>
      </c>
      <c r="I277" t="s">
        <v>141</v>
      </c>
      <c r="J277" t="s">
        <v>11</v>
      </c>
      <c r="K277" t="s">
        <v>12</v>
      </c>
      <c r="L277" t="s">
        <v>3</v>
      </c>
      <c r="M277" t="s">
        <v>4</v>
      </c>
      <c r="N277" s="2">
        <v>6705</v>
      </c>
      <c r="O277" s="2">
        <v>6737.1769999999997</v>
      </c>
      <c r="P277" s="2">
        <v>5052.2190000000001</v>
      </c>
      <c r="Q277" t="s">
        <v>73</v>
      </c>
      <c r="R277" t="s">
        <v>6</v>
      </c>
      <c r="S277" t="s">
        <v>66</v>
      </c>
      <c r="T277" t="s">
        <v>8</v>
      </c>
    </row>
    <row r="278" spans="1:20" x14ac:dyDescent="0.25">
      <c r="A278" s="74"/>
      <c r="B278" s="74"/>
      <c r="C278" s="71"/>
      <c r="D278" s="74"/>
      <c r="E278" s="72"/>
      <c r="F278" t="s">
        <v>65</v>
      </c>
      <c r="G278" s="1">
        <v>45236</v>
      </c>
      <c r="H278" t="s">
        <v>218</v>
      </c>
      <c r="I278" t="s">
        <v>130</v>
      </c>
      <c r="J278" t="s">
        <v>20</v>
      </c>
      <c r="K278" t="s">
        <v>21</v>
      </c>
      <c r="L278" t="s">
        <v>3</v>
      </c>
      <c r="M278" t="s">
        <v>4</v>
      </c>
      <c r="N278" s="2">
        <v>6980</v>
      </c>
      <c r="O278" s="2">
        <v>6991.7610000000004</v>
      </c>
      <c r="P278" s="2">
        <v>5877.1580000000004</v>
      </c>
      <c r="Q278" t="s">
        <v>55</v>
      </c>
      <c r="R278" t="s">
        <v>6</v>
      </c>
      <c r="S278" t="s">
        <v>66</v>
      </c>
      <c r="T278" t="s">
        <v>8</v>
      </c>
    </row>
    <row r="279" spans="1:20" x14ac:dyDescent="0.25">
      <c r="A279" s="74"/>
      <c r="B279" s="74"/>
      <c r="C279" s="71"/>
      <c r="D279" s="74"/>
      <c r="E279" s="72"/>
      <c r="F279" t="s">
        <v>65</v>
      </c>
      <c r="G279" s="1">
        <v>45236</v>
      </c>
      <c r="H279" t="s">
        <v>218</v>
      </c>
      <c r="I279" t="s">
        <v>155</v>
      </c>
      <c r="J279" t="s">
        <v>1</v>
      </c>
      <c r="K279" t="s">
        <v>2</v>
      </c>
      <c r="L279" t="s">
        <v>3</v>
      </c>
      <c r="M279" t="s">
        <v>4</v>
      </c>
      <c r="N279" s="2">
        <v>13975</v>
      </c>
      <c r="O279" s="2">
        <v>13986.739</v>
      </c>
      <c r="P279" s="2">
        <v>11787.913</v>
      </c>
      <c r="Q279" t="s">
        <v>49</v>
      </c>
      <c r="R279" t="s">
        <v>6</v>
      </c>
      <c r="S279" t="s">
        <v>66</v>
      </c>
      <c r="T279" t="s">
        <v>8</v>
      </c>
    </row>
    <row r="280" spans="1:20" x14ac:dyDescent="0.25">
      <c r="A280" s="74">
        <f>P280+P281+P282</f>
        <v>24942.398999999998</v>
      </c>
      <c r="B280" s="74" t="str">
        <f>'Весы 06.11.2023'!I53</f>
        <v>24660</v>
      </c>
      <c r="C280" s="70" t="str">
        <f>'Весы 06.11.2023'!K53</f>
        <v>-43</v>
      </c>
      <c r="D280" s="74">
        <f>B280-C280</f>
        <v>24703</v>
      </c>
      <c r="E280" s="72">
        <f>A280-D280</f>
        <v>239.39899999999761</v>
      </c>
      <c r="F280" t="s">
        <v>44</v>
      </c>
      <c r="G280" s="1">
        <v>45236</v>
      </c>
      <c r="H280" t="s">
        <v>182</v>
      </c>
      <c r="I280" t="s">
        <v>158</v>
      </c>
      <c r="J280" t="s">
        <v>16</v>
      </c>
      <c r="K280" t="s">
        <v>17</v>
      </c>
      <c r="L280" t="s">
        <v>3</v>
      </c>
      <c r="M280" t="s">
        <v>4</v>
      </c>
      <c r="N280" s="2">
        <v>4700</v>
      </c>
      <c r="O280" s="2">
        <v>4728.0919999999996</v>
      </c>
      <c r="P280" s="2">
        <v>3553.2</v>
      </c>
      <c r="Q280" t="s">
        <v>75</v>
      </c>
      <c r="R280" t="s">
        <v>6</v>
      </c>
      <c r="S280" t="s">
        <v>45</v>
      </c>
      <c r="T280" t="s">
        <v>8</v>
      </c>
    </row>
    <row r="281" spans="1:20" x14ac:dyDescent="0.25">
      <c r="A281" s="74"/>
      <c r="B281" s="74"/>
      <c r="C281" s="71"/>
      <c r="D281" s="74"/>
      <c r="E281" s="72"/>
      <c r="F281" t="s">
        <v>44</v>
      </c>
      <c r="G281" s="1">
        <v>45236</v>
      </c>
      <c r="H281" t="s">
        <v>182</v>
      </c>
      <c r="I281" t="s">
        <v>109</v>
      </c>
      <c r="J281" t="s">
        <v>11</v>
      </c>
      <c r="K281" t="s">
        <v>12</v>
      </c>
      <c r="L281" t="s">
        <v>3</v>
      </c>
      <c r="M281" t="s">
        <v>4</v>
      </c>
      <c r="N281" s="2">
        <v>9700</v>
      </c>
      <c r="O281" s="2">
        <v>9758.4429999999993</v>
      </c>
      <c r="P281" s="2">
        <v>7294.3969999999999</v>
      </c>
      <c r="Q281" t="s">
        <v>75</v>
      </c>
      <c r="R281" t="s">
        <v>6</v>
      </c>
      <c r="S281" t="s">
        <v>45</v>
      </c>
      <c r="T281" t="s">
        <v>8</v>
      </c>
    </row>
    <row r="282" spans="1:20" x14ac:dyDescent="0.25">
      <c r="A282" s="74"/>
      <c r="B282" s="74"/>
      <c r="C282" s="71"/>
      <c r="D282" s="74"/>
      <c r="E282" s="72"/>
      <c r="F282" t="s">
        <v>44</v>
      </c>
      <c r="G282" s="1">
        <v>45236</v>
      </c>
      <c r="H282" t="s">
        <v>182</v>
      </c>
      <c r="I282" t="s">
        <v>144</v>
      </c>
      <c r="J282" t="s">
        <v>1</v>
      </c>
      <c r="K282" t="s">
        <v>2</v>
      </c>
      <c r="L282" t="s">
        <v>3</v>
      </c>
      <c r="M282" t="s">
        <v>4</v>
      </c>
      <c r="N282" s="2">
        <v>16700</v>
      </c>
      <c r="O282" s="2">
        <v>16756.212</v>
      </c>
      <c r="P282" s="2">
        <v>14094.802</v>
      </c>
      <c r="Q282" t="s">
        <v>73</v>
      </c>
      <c r="R282" t="s">
        <v>6</v>
      </c>
      <c r="S282" t="s">
        <v>45</v>
      </c>
      <c r="T282" t="s">
        <v>8</v>
      </c>
    </row>
    <row r="283" spans="1:20" x14ac:dyDescent="0.25">
      <c r="A283" s="74">
        <f>P283+P284+P285</f>
        <v>24555.123</v>
      </c>
      <c r="B283" s="74" t="str">
        <f>'Весы 06.11.2023'!I72</f>
        <v>24260</v>
      </c>
      <c r="C283" s="70" t="str">
        <f>'Весы 06.11.2023'!K72</f>
        <v>-30</v>
      </c>
      <c r="D283" s="74">
        <f>B283-C283</f>
        <v>24290</v>
      </c>
      <c r="E283" s="72">
        <f>A283-D283</f>
        <v>265.12299999999959</v>
      </c>
      <c r="F283" t="s">
        <v>131</v>
      </c>
      <c r="G283" s="1">
        <v>45236</v>
      </c>
      <c r="H283" t="s">
        <v>227</v>
      </c>
      <c r="I283" t="s">
        <v>164</v>
      </c>
      <c r="J283" t="s">
        <v>20</v>
      </c>
      <c r="K283" t="s">
        <v>21</v>
      </c>
      <c r="L283" t="s">
        <v>3</v>
      </c>
      <c r="M283" t="s">
        <v>4</v>
      </c>
      <c r="N283" s="2">
        <v>7670</v>
      </c>
      <c r="O283" s="2">
        <v>7663.58</v>
      </c>
      <c r="P283" s="2">
        <v>6477.317</v>
      </c>
      <c r="Q283" t="s">
        <v>48</v>
      </c>
      <c r="R283" t="s">
        <v>6</v>
      </c>
      <c r="S283" t="s">
        <v>132</v>
      </c>
      <c r="T283" t="s">
        <v>8</v>
      </c>
    </row>
    <row r="284" spans="1:20" x14ac:dyDescent="0.25">
      <c r="A284" s="74"/>
      <c r="B284" s="74"/>
      <c r="C284" s="71"/>
      <c r="D284" s="74"/>
      <c r="E284" s="72"/>
      <c r="F284" t="s">
        <v>131</v>
      </c>
      <c r="G284" s="1">
        <v>45236</v>
      </c>
      <c r="H284" t="s">
        <v>227</v>
      </c>
      <c r="I284" t="s">
        <v>133</v>
      </c>
      <c r="J284" t="s">
        <v>1</v>
      </c>
      <c r="K284" t="s">
        <v>2</v>
      </c>
      <c r="L284" t="s">
        <v>3</v>
      </c>
      <c r="M284" t="s">
        <v>4</v>
      </c>
      <c r="N284" s="2">
        <v>7720</v>
      </c>
      <c r="O284" s="2">
        <v>7720</v>
      </c>
      <c r="P284" s="2">
        <v>6507.96</v>
      </c>
      <c r="Q284" t="s">
        <v>39</v>
      </c>
      <c r="R284" t="s">
        <v>6</v>
      </c>
      <c r="S284" t="s">
        <v>132</v>
      </c>
      <c r="T284" t="s">
        <v>8</v>
      </c>
    </row>
    <row r="285" spans="1:20" x14ac:dyDescent="0.25">
      <c r="A285" s="74"/>
      <c r="B285" s="74"/>
      <c r="C285" s="71"/>
      <c r="D285" s="74"/>
      <c r="E285" s="72"/>
      <c r="F285" t="s">
        <v>131</v>
      </c>
      <c r="G285" s="1">
        <v>45236</v>
      </c>
      <c r="H285" t="s">
        <v>227</v>
      </c>
      <c r="I285" t="s">
        <v>93</v>
      </c>
      <c r="J285" t="s">
        <v>11</v>
      </c>
      <c r="K285" t="s">
        <v>12</v>
      </c>
      <c r="L285" t="s">
        <v>3</v>
      </c>
      <c r="M285" t="s">
        <v>4</v>
      </c>
      <c r="N285" s="2">
        <v>15365</v>
      </c>
      <c r="O285" s="2">
        <v>15401.799000000001</v>
      </c>
      <c r="P285" s="2">
        <v>11569.846</v>
      </c>
      <c r="Q285" t="s">
        <v>55</v>
      </c>
      <c r="R285" t="s">
        <v>6</v>
      </c>
      <c r="S285" t="s">
        <v>132</v>
      </c>
      <c r="T285" t="s">
        <v>8</v>
      </c>
    </row>
    <row r="286" spans="1:20" x14ac:dyDescent="0.25">
      <c r="A286" s="74">
        <f>P286+P287+P288</f>
        <v>26012.684999999998</v>
      </c>
      <c r="B286" s="74" t="str">
        <f>'Весы 06.11.2023'!I57</f>
        <v>25800</v>
      </c>
      <c r="C286" s="70" t="str">
        <f>'Весы 06.11.2023'!K57</f>
        <v>-33</v>
      </c>
      <c r="D286" s="74">
        <f>B286-C286</f>
        <v>25833</v>
      </c>
      <c r="E286" s="72">
        <f>A286-D286</f>
        <v>179.68499999999767</v>
      </c>
      <c r="F286" t="s">
        <v>40</v>
      </c>
      <c r="G286" s="1">
        <v>45236</v>
      </c>
      <c r="H286" t="s">
        <v>264</v>
      </c>
      <c r="I286" t="s">
        <v>27</v>
      </c>
      <c r="J286" t="s">
        <v>16</v>
      </c>
      <c r="K286" t="s">
        <v>17</v>
      </c>
      <c r="L286" t="s">
        <v>3</v>
      </c>
      <c r="M286" t="s">
        <v>4</v>
      </c>
      <c r="N286" s="2">
        <v>6290</v>
      </c>
      <c r="O286" s="2">
        <v>6312.7190000000001</v>
      </c>
      <c r="P286" s="2">
        <v>4723.79</v>
      </c>
      <c r="Q286" t="s">
        <v>51</v>
      </c>
      <c r="R286" t="s">
        <v>6</v>
      </c>
      <c r="S286" t="s">
        <v>41</v>
      </c>
      <c r="T286" t="s">
        <v>8</v>
      </c>
    </row>
    <row r="287" spans="1:20" x14ac:dyDescent="0.25">
      <c r="A287" s="74"/>
      <c r="B287" s="74"/>
      <c r="C287" s="71"/>
      <c r="D287" s="74"/>
      <c r="E287" s="72"/>
      <c r="F287" t="s">
        <v>40</v>
      </c>
      <c r="G287" s="1">
        <v>45236</v>
      </c>
      <c r="H287" t="s">
        <v>264</v>
      </c>
      <c r="I287" t="s">
        <v>130</v>
      </c>
      <c r="J287" t="s">
        <v>20</v>
      </c>
      <c r="K287" t="s">
        <v>21</v>
      </c>
      <c r="L287" t="s">
        <v>3</v>
      </c>
      <c r="M287" t="s">
        <v>4</v>
      </c>
      <c r="N287" s="2">
        <v>6320</v>
      </c>
      <c r="O287" s="2">
        <v>6325.3209999999999</v>
      </c>
      <c r="P287" s="2">
        <v>5321.44</v>
      </c>
      <c r="Q287" t="s">
        <v>49</v>
      </c>
      <c r="R287" t="s">
        <v>6</v>
      </c>
      <c r="S287" t="s">
        <v>41</v>
      </c>
      <c r="T287" t="s">
        <v>8</v>
      </c>
    </row>
    <row r="288" spans="1:20" x14ac:dyDescent="0.25">
      <c r="A288" s="74"/>
      <c r="B288" s="74"/>
      <c r="C288" s="71"/>
      <c r="D288" s="74"/>
      <c r="E288" s="72"/>
      <c r="F288" t="s">
        <v>40</v>
      </c>
      <c r="G288" s="1">
        <v>45236</v>
      </c>
      <c r="H288" t="s">
        <v>264</v>
      </c>
      <c r="I288" t="s">
        <v>155</v>
      </c>
      <c r="J288" t="s">
        <v>1</v>
      </c>
      <c r="K288" t="s">
        <v>2</v>
      </c>
      <c r="L288" t="s">
        <v>3</v>
      </c>
      <c r="M288" t="s">
        <v>4</v>
      </c>
      <c r="N288" s="2">
        <v>18930</v>
      </c>
      <c r="O288" s="2">
        <v>18945.901000000002</v>
      </c>
      <c r="P288" s="2">
        <v>15967.455</v>
      </c>
      <c r="Q288" t="s">
        <v>49</v>
      </c>
      <c r="R288" t="s">
        <v>6</v>
      </c>
      <c r="S288" t="s">
        <v>41</v>
      </c>
      <c r="T288" t="s">
        <v>8</v>
      </c>
    </row>
    <row r="289" spans="1:20" x14ac:dyDescent="0.25">
      <c r="A289" s="74">
        <f>P289+P290+P291</f>
        <v>25900.730000000003</v>
      </c>
      <c r="B289" s="74" t="str">
        <f>'Весы 06.11.2023'!I51</f>
        <v>25610</v>
      </c>
      <c r="C289" s="70" t="str">
        <f>'Весы 06.11.2023'!K51</f>
        <v>-45</v>
      </c>
      <c r="D289" s="74">
        <f>B289-C289</f>
        <v>25655</v>
      </c>
      <c r="E289" s="72">
        <f>A289-D289</f>
        <v>245.7300000000032</v>
      </c>
      <c r="F289" t="s">
        <v>18</v>
      </c>
      <c r="G289" s="1">
        <v>45236</v>
      </c>
      <c r="H289" t="s">
        <v>167</v>
      </c>
      <c r="I289" t="s">
        <v>168</v>
      </c>
      <c r="J289" t="s">
        <v>20</v>
      </c>
      <c r="K289" t="s">
        <v>21</v>
      </c>
      <c r="L289" t="s">
        <v>3</v>
      </c>
      <c r="M289" t="s">
        <v>4</v>
      </c>
      <c r="N289" s="2">
        <v>7680</v>
      </c>
      <c r="O289" s="2">
        <v>7712.2870000000003</v>
      </c>
      <c r="P289" s="2">
        <v>6489.598</v>
      </c>
      <c r="Q289" t="s">
        <v>75</v>
      </c>
      <c r="R289" t="s">
        <v>6</v>
      </c>
      <c r="S289" t="s">
        <v>19</v>
      </c>
      <c r="T289" t="s">
        <v>8</v>
      </c>
    </row>
    <row r="290" spans="1:20" x14ac:dyDescent="0.25">
      <c r="A290" s="74"/>
      <c r="B290" s="74"/>
      <c r="C290" s="71"/>
      <c r="D290" s="74"/>
      <c r="E290" s="72"/>
      <c r="F290" t="s">
        <v>18</v>
      </c>
      <c r="G290" s="1">
        <v>45236</v>
      </c>
      <c r="H290" t="s">
        <v>167</v>
      </c>
      <c r="I290" t="s">
        <v>150</v>
      </c>
      <c r="J290" t="s">
        <v>1</v>
      </c>
      <c r="K290" t="s">
        <v>2</v>
      </c>
      <c r="L290" t="s">
        <v>3</v>
      </c>
      <c r="M290" t="s">
        <v>4</v>
      </c>
      <c r="N290" s="2">
        <v>15375</v>
      </c>
      <c r="O290" s="2">
        <v>15440.112999999999</v>
      </c>
      <c r="P290" s="2">
        <v>12930.374</v>
      </c>
      <c r="Q290" t="s">
        <v>75</v>
      </c>
      <c r="R290" t="s">
        <v>6</v>
      </c>
      <c r="S290" t="s">
        <v>19</v>
      </c>
      <c r="T290" t="s">
        <v>8</v>
      </c>
    </row>
    <row r="291" spans="1:20" x14ac:dyDescent="0.25">
      <c r="A291" s="74"/>
      <c r="B291" s="74"/>
      <c r="C291" s="71"/>
      <c r="D291" s="74"/>
      <c r="E291" s="72"/>
      <c r="F291" t="s">
        <v>18</v>
      </c>
      <c r="G291" s="1">
        <v>45236</v>
      </c>
      <c r="H291" t="s">
        <v>167</v>
      </c>
      <c r="I291" t="s">
        <v>154</v>
      </c>
      <c r="J291" t="s">
        <v>124</v>
      </c>
      <c r="K291" t="s">
        <v>125</v>
      </c>
      <c r="L291" t="s">
        <v>3</v>
      </c>
      <c r="M291" t="s">
        <v>4</v>
      </c>
      <c r="N291" s="2">
        <v>7665</v>
      </c>
      <c r="O291" s="2">
        <v>7690.7389999999996</v>
      </c>
      <c r="P291" s="2">
        <v>6480.7579999999998</v>
      </c>
      <c r="Q291" t="s">
        <v>73</v>
      </c>
      <c r="R291" t="s">
        <v>6</v>
      </c>
      <c r="S291" t="s">
        <v>19</v>
      </c>
      <c r="T291" t="s">
        <v>8</v>
      </c>
    </row>
    <row r="292" spans="1:20" x14ac:dyDescent="0.25">
      <c r="A292" s="74">
        <f>P292+P293+P294</f>
        <v>27319.5</v>
      </c>
      <c r="B292" s="74" t="str">
        <f>'Весы 06.11.2023'!I50</f>
        <v>27000</v>
      </c>
      <c r="C292" s="70" t="str">
        <f>'Весы 06.11.2023'!K50</f>
        <v>-31</v>
      </c>
      <c r="D292" s="74">
        <f>B292-C292</f>
        <v>27031</v>
      </c>
      <c r="E292" s="72">
        <f>A292-D292</f>
        <v>288.5</v>
      </c>
      <c r="F292" t="s">
        <v>32</v>
      </c>
      <c r="G292" s="1">
        <v>45236</v>
      </c>
      <c r="H292" t="s">
        <v>235</v>
      </c>
      <c r="I292" t="s">
        <v>93</v>
      </c>
      <c r="J292" t="s">
        <v>11</v>
      </c>
      <c r="K292" t="s">
        <v>12</v>
      </c>
      <c r="L292" t="s">
        <v>3</v>
      </c>
      <c r="M292" t="s">
        <v>4</v>
      </c>
      <c r="N292" s="2">
        <v>10000</v>
      </c>
      <c r="O292" s="2">
        <v>10048.040000000001</v>
      </c>
      <c r="P292" s="2">
        <v>7530.0029999999997</v>
      </c>
      <c r="Q292" t="s">
        <v>73</v>
      </c>
      <c r="R292" t="s">
        <v>23</v>
      </c>
      <c r="S292" t="s">
        <v>34</v>
      </c>
      <c r="T292" t="s">
        <v>8</v>
      </c>
    </row>
    <row r="293" spans="1:20" x14ac:dyDescent="0.25">
      <c r="A293" s="74"/>
      <c r="B293" s="74"/>
      <c r="C293" s="71"/>
      <c r="D293" s="74"/>
      <c r="E293" s="72"/>
      <c r="F293" t="s">
        <v>32</v>
      </c>
      <c r="G293" s="1">
        <v>45236</v>
      </c>
      <c r="H293" t="s">
        <v>235</v>
      </c>
      <c r="I293" t="s">
        <v>168</v>
      </c>
      <c r="J293" t="s">
        <v>20</v>
      </c>
      <c r="K293" t="s">
        <v>21</v>
      </c>
      <c r="L293" t="s">
        <v>3</v>
      </c>
      <c r="M293" t="s">
        <v>4</v>
      </c>
      <c r="N293" s="2">
        <v>6500</v>
      </c>
      <c r="O293" s="2">
        <v>6527.326</v>
      </c>
      <c r="P293" s="2">
        <v>5492.4979999999996</v>
      </c>
      <c r="Q293" t="s">
        <v>75</v>
      </c>
      <c r="R293" t="s">
        <v>23</v>
      </c>
      <c r="S293" t="s">
        <v>34</v>
      </c>
      <c r="T293" t="s">
        <v>8</v>
      </c>
    </row>
    <row r="294" spans="1:20" x14ac:dyDescent="0.25">
      <c r="A294" s="74"/>
      <c r="B294" s="74"/>
      <c r="C294" s="71"/>
      <c r="D294" s="74"/>
      <c r="E294" s="72"/>
      <c r="F294" t="s">
        <v>32</v>
      </c>
      <c r="G294" s="1">
        <v>45236</v>
      </c>
      <c r="H294" t="s">
        <v>235</v>
      </c>
      <c r="I294" t="s">
        <v>150</v>
      </c>
      <c r="J294" t="s">
        <v>1</v>
      </c>
      <c r="K294" t="s">
        <v>2</v>
      </c>
      <c r="L294" t="s">
        <v>3</v>
      </c>
      <c r="M294" t="s">
        <v>4</v>
      </c>
      <c r="N294" s="2">
        <v>17000</v>
      </c>
      <c r="O294" s="2">
        <v>17071.994999999999</v>
      </c>
      <c r="P294" s="2">
        <v>14296.999</v>
      </c>
      <c r="Q294" t="s">
        <v>75</v>
      </c>
      <c r="R294" t="s">
        <v>23</v>
      </c>
      <c r="S294" t="s">
        <v>34</v>
      </c>
      <c r="T294" t="s">
        <v>8</v>
      </c>
    </row>
    <row r="295" spans="1:20" x14ac:dyDescent="0.25">
      <c r="A295" s="74">
        <f>P295+P296+P297</f>
        <v>26111.434000000001</v>
      </c>
      <c r="B295" s="74" t="str">
        <f>'Весы 06.11.2023'!I61</f>
        <v>25820</v>
      </c>
      <c r="C295" s="70" t="str">
        <f>'Весы 06.11.2023'!K61</f>
        <v>-30</v>
      </c>
      <c r="D295" s="74">
        <f>B295-C295</f>
        <v>25850</v>
      </c>
      <c r="E295" s="72">
        <f>A295-D295</f>
        <v>261.43400000000111</v>
      </c>
      <c r="F295" t="s">
        <v>58</v>
      </c>
      <c r="G295" s="1">
        <v>45236</v>
      </c>
      <c r="H295" t="s">
        <v>230</v>
      </c>
      <c r="I295" t="s">
        <v>127</v>
      </c>
      <c r="J295" t="s">
        <v>11</v>
      </c>
      <c r="K295" t="s">
        <v>12</v>
      </c>
      <c r="L295" t="s">
        <v>3</v>
      </c>
      <c r="M295" t="s">
        <v>4</v>
      </c>
      <c r="N295" s="2">
        <v>10000</v>
      </c>
      <c r="O295" s="2">
        <v>10023.9</v>
      </c>
      <c r="P295" s="2">
        <v>7540</v>
      </c>
      <c r="Q295" t="s">
        <v>55</v>
      </c>
      <c r="R295" t="s">
        <v>23</v>
      </c>
      <c r="S295" t="s">
        <v>59</v>
      </c>
      <c r="T295" t="s">
        <v>8</v>
      </c>
    </row>
    <row r="296" spans="1:20" x14ac:dyDescent="0.25">
      <c r="A296" s="74"/>
      <c r="B296" s="74"/>
      <c r="C296" s="71"/>
      <c r="D296" s="74"/>
      <c r="E296" s="72"/>
      <c r="F296" t="s">
        <v>58</v>
      </c>
      <c r="G296" s="1">
        <v>45236</v>
      </c>
      <c r="H296" t="s">
        <v>230</v>
      </c>
      <c r="I296" t="s">
        <v>133</v>
      </c>
      <c r="J296" t="s">
        <v>20</v>
      </c>
      <c r="K296" t="s">
        <v>21</v>
      </c>
      <c r="L296" t="s">
        <v>3</v>
      </c>
      <c r="M296" t="s">
        <v>4</v>
      </c>
      <c r="N296" s="2">
        <v>5005</v>
      </c>
      <c r="O296" s="2">
        <v>5005</v>
      </c>
      <c r="P296" s="2">
        <v>4219.2150000000001</v>
      </c>
      <c r="Q296" t="s">
        <v>39</v>
      </c>
      <c r="R296" t="s">
        <v>23</v>
      </c>
      <c r="S296" t="s">
        <v>59</v>
      </c>
      <c r="T296" t="s">
        <v>8</v>
      </c>
    </row>
    <row r="297" spans="1:20" x14ac:dyDescent="0.25">
      <c r="A297" s="74"/>
      <c r="B297" s="74"/>
      <c r="C297" s="71"/>
      <c r="D297" s="74"/>
      <c r="E297" s="72"/>
      <c r="F297" t="s">
        <v>58</v>
      </c>
      <c r="G297" s="1">
        <v>45236</v>
      </c>
      <c r="H297" t="s">
        <v>230</v>
      </c>
      <c r="I297" t="s">
        <v>144</v>
      </c>
      <c r="J297" t="s">
        <v>1</v>
      </c>
      <c r="K297" t="s">
        <v>2</v>
      </c>
      <c r="L297" t="s">
        <v>3</v>
      </c>
      <c r="M297" t="s">
        <v>4</v>
      </c>
      <c r="N297" s="2">
        <v>17005</v>
      </c>
      <c r="O297" s="2">
        <v>16990.75</v>
      </c>
      <c r="P297" s="2">
        <v>14352.218999999999</v>
      </c>
      <c r="Q297" t="s">
        <v>48</v>
      </c>
      <c r="R297" t="s">
        <v>23</v>
      </c>
      <c r="S297" t="s">
        <v>59</v>
      </c>
      <c r="T297" t="s">
        <v>8</v>
      </c>
    </row>
    <row r="298" spans="1:20" x14ac:dyDescent="0.25">
      <c r="A298" s="74">
        <f>P298+P299+P300</f>
        <v>25362.151000000002</v>
      </c>
      <c r="B298" s="74" t="str">
        <f>'Весы 06.11.2023'!I56</f>
        <v>25070</v>
      </c>
      <c r="C298" s="70" t="str">
        <f>'Весы 06.11.2023'!K56</f>
        <v>-41</v>
      </c>
      <c r="D298" s="74">
        <f>B298-C298</f>
        <v>25111</v>
      </c>
      <c r="E298" s="72">
        <f>A298-D298</f>
        <v>251.15100000000166</v>
      </c>
      <c r="F298" t="s">
        <v>107</v>
      </c>
      <c r="G298" s="1">
        <v>45236</v>
      </c>
      <c r="H298" t="s">
        <v>234</v>
      </c>
      <c r="I298" t="s">
        <v>155</v>
      </c>
      <c r="J298" t="s">
        <v>1</v>
      </c>
      <c r="K298" t="s">
        <v>2</v>
      </c>
      <c r="L298" t="s">
        <v>3</v>
      </c>
      <c r="M298" t="s">
        <v>4</v>
      </c>
      <c r="N298" s="2">
        <v>15400</v>
      </c>
      <c r="O298" s="2">
        <v>15412.936</v>
      </c>
      <c r="P298" s="2">
        <v>12989.9</v>
      </c>
      <c r="Q298" t="s">
        <v>49</v>
      </c>
      <c r="R298" t="s">
        <v>23</v>
      </c>
      <c r="S298" t="s">
        <v>108</v>
      </c>
      <c r="T298" t="s">
        <v>8</v>
      </c>
    </row>
    <row r="299" spans="1:20" x14ac:dyDescent="0.25">
      <c r="A299" s="74"/>
      <c r="B299" s="74"/>
      <c r="C299" s="71"/>
      <c r="D299" s="74"/>
      <c r="E299" s="72"/>
      <c r="F299" t="s">
        <v>107</v>
      </c>
      <c r="G299" s="1">
        <v>45236</v>
      </c>
      <c r="H299" t="s">
        <v>156</v>
      </c>
      <c r="I299" t="s">
        <v>141</v>
      </c>
      <c r="J299" t="s">
        <v>11</v>
      </c>
      <c r="K299" t="s">
        <v>12</v>
      </c>
      <c r="L299" t="s">
        <v>3</v>
      </c>
      <c r="M299" t="s">
        <v>4</v>
      </c>
      <c r="N299" s="2">
        <v>7800</v>
      </c>
      <c r="O299" s="2">
        <v>7837.4319999999998</v>
      </c>
      <c r="P299" s="2">
        <v>5877.3010000000004</v>
      </c>
      <c r="Q299" t="s">
        <v>73</v>
      </c>
      <c r="R299" t="s">
        <v>23</v>
      </c>
      <c r="S299" t="s">
        <v>108</v>
      </c>
      <c r="T299" t="s">
        <v>8</v>
      </c>
    </row>
    <row r="300" spans="1:20" x14ac:dyDescent="0.25">
      <c r="A300" s="74"/>
      <c r="B300" s="74"/>
      <c r="C300" s="71"/>
      <c r="D300" s="74"/>
      <c r="E300" s="72"/>
      <c r="F300" t="s">
        <v>107</v>
      </c>
      <c r="G300" s="1">
        <v>45236</v>
      </c>
      <c r="H300" t="s">
        <v>156</v>
      </c>
      <c r="I300" t="s">
        <v>155</v>
      </c>
      <c r="J300" t="s">
        <v>1</v>
      </c>
      <c r="K300" t="s">
        <v>2</v>
      </c>
      <c r="L300" t="s">
        <v>3</v>
      </c>
      <c r="M300" t="s">
        <v>4</v>
      </c>
      <c r="N300" s="2">
        <v>7700</v>
      </c>
      <c r="O300" s="2">
        <v>7706.4679999999998</v>
      </c>
      <c r="P300" s="2">
        <v>6494.95</v>
      </c>
      <c r="Q300" t="s">
        <v>49</v>
      </c>
      <c r="R300" t="s">
        <v>23</v>
      </c>
      <c r="S300" t="s">
        <v>108</v>
      </c>
      <c r="T300" t="s">
        <v>8</v>
      </c>
    </row>
    <row r="301" spans="1:20" x14ac:dyDescent="0.25">
      <c r="A301" s="74">
        <f t="shared" ref="A301" si="125">P301+P302</f>
        <v>25965.381000000001</v>
      </c>
      <c r="B301" s="74" t="str">
        <f>'Весы 06.11.2023'!I52</f>
        <v>25650</v>
      </c>
      <c r="C301" s="70" t="str">
        <f>'Весы 06.11.2023'!K52</f>
        <v>-48</v>
      </c>
      <c r="D301" s="74">
        <f t="shared" ref="D301" si="126">B301-C301</f>
        <v>25698</v>
      </c>
      <c r="E301" s="72">
        <f t="shared" ref="E301" si="127">A301-D301</f>
        <v>267.38100000000122</v>
      </c>
      <c r="F301" t="s">
        <v>46</v>
      </c>
      <c r="G301" s="1">
        <v>45236</v>
      </c>
      <c r="H301" t="s">
        <v>204</v>
      </c>
      <c r="I301" t="s">
        <v>93</v>
      </c>
      <c r="J301" t="s">
        <v>11</v>
      </c>
      <c r="K301" t="s">
        <v>12</v>
      </c>
      <c r="L301" t="s">
        <v>3</v>
      </c>
      <c r="M301" t="s">
        <v>4</v>
      </c>
      <c r="N301" s="2">
        <v>12895</v>
      </c>
      <c r="O301" s="2">
        <v>12956.948</v>
      </c>
      <c r="P301" s="2">
        <v>9709.9390000000003</v>
      </c>
      <c r="Q301" t="s">
        <v>73</v>
      </c>
      <c r="R301" t="s">
        <v>23</v>
      </c>
      <c r="S301" t="s">
        <v>47</v>
      </c>
      <c r="T301" t="s">
        <v>8</v>
      </c>
    </row>
    <row r="302" spans="1:20" x14ac:dyDescent="0.25">
      <c r="A302" s="74"/>
      <c r="B302" s="74"/>
      <c r="C302" s="71"/>
      <c r="D302" s="74"/>
      <c r="E302" s="72"/>
      <c r="F302" t="s">
        <v>46</v>
      </c>
      <c r="G302" s="1">
        <v>45236</v>
      </c>
      <c r="H302" t="s">
        <v>204</v>
      </c>
      <c r="I302" t="s">
        <v>144</v>
      </c>
      <c r="J302" t="s">
        <v>1</v>
      </c>
      <c r="K302" t="s">
        <v>2</v>
      </c>
      <c r="L302" t="s">
        <v>3</v>
      </c>
      <c r="M302" t="s">
        <v>4</v>
      </c>
      <c r="N302" s="2">
        <v>19260</v>
      </c>
      <c r="O302" s="2">
        <v>19324.829000000002</v>
      </c>
      <c r="P302" s="2">
        <v>16255.441999999999</v>
      </c>
      <c r="Q302" t="s">
        <v>73</v>
      </c>
      <c r="R302" t="s">
        <v>23</v>
      </c>
      <c r="S302" t="s">
        <v>47</v>
      </c>
      <c r="T302" t="s">
        <v>8</v>
      </c>
    </row>
    <row r="303" spans="1:20" x14ac:dyDescent="0.25">
      <c r="A303" s="74">
        <f>P303+P304+P305</f>
        <v>25593.481000000003</v>
      </c>
      <c r="B303" s="74" t="str">
        <f>'Весы 06.11.2023'!I59</f>
        <v>25320</v>
      </c>
      <c r="C303" s="70" t="str">
        <f>'Весы 06.11.2023'!K59</f>
        <v>-12</v>
      </c>
      <c r="D303" s="74">
        <f>B303-C303</f>
        <v>25332</v>
      </c>
      <c r="E303" s="72">
        <f>A303-D303</f>
        <v>261.48100000000341</v>
      </c>
      <c r="F303" t="s">
        <v>60</v>
      </c>
      <c r="G303" s="1">
        <v>45236</v>
      </c>
      <c r="H303" t="s">
        <v>242</v>
      </c>
      <c r="I303" t="s">
        <v>141</v>
      </c>
      <c r="J303" t="s">
        <v>11</v>
      </c>
      <c r="K303" t="s">
        <v>12</v>
      </c>
      <c r="L303" t="s">
        <v>3</v>
      </c>
      <c r="M303" t="s">
        <v>4</v>
      </c>
      <c r="N303" s="2">
        <v>8135</v>
      </c>
      <c r="O303" s="2">
        <v>8164.2370000000001</v>
      </c>
      <c r="P303" s="2">
        <v>6129.723</v>
      </c>
      <c r="Q303" t="s">
        <v>51</v>
      </c>
      <c r="R303" t="s">
        <v>23</v>
      </c>
      <c r="S303" t="s">
        <v>61</v>
      </c>
      <c r="T303" t="s">
        <v>8</v>
      </c>
    </row>
    <row r="304" spans="1:20" x14ac:dyDescent="0.25">
      <c r="A304" s="74"/>
      <c r="B304" s="74"/>
      <c r="C304" s="71"/>
      <c r="D304" s="74"/>
      <c r="E304" s="72"/>
      <c r="F304" t="s">
        <v>60</v>
      </c>
      <c r="G304" s="1">
        <v>45236</v>
      </c>
      <c r="H304" t="s">
        <v>242</v>
      </c>
      <c r="I304" t="s">
        <v>155</v>
      </c>
      <c r="J304" t="s">
        <v>20</v>
      </c>
      <c r="K304" t="s">
        <v>21</v>
      </c>
      <c r="L304" t="s">
        <v>3</v>
      </c>
      <c r="M304" t="s">
        <v>4</v>
      </c>
      <c r="N304" s="2">
        <v>12625</v>
      </c>
      <c r="O304" s="2">
        <v>12646.223</v>
      </c>
      <c r="P304" s="2">
        <v>10649.183000000001</v>
      </c>
      <c r="Q304" t="s">
        <v>55</v>
      </c>
      <c r="R304" t="s">
        <v>23</v>
      </c>
      <c r="S304" t="s">
        <v>61</v>
      </c>
      <c r="T304" t="s">
        <v>8</v>
      </c>
    </row>
    <row r="305" spans="1:20" x14ac:dyDescent="0.25">
      <c r="A305" s="74"/>
      <c r="B305" s="74"/>
      <c r="C305" s="71"/>
      <c r="D305" s="74"/>
      <c r="E305" s="72"/>
      <c r="F305" t="s">
        <v>60</v>
      </c>
      <c r="G305" s="1">
        <v>45236</v>
      </c>
      <c r="H305" t="s">
        <v>242</v>
      </c>
      <c r="I305" t="s">
        <v>155</v>
      </c>
      <c r="J305" t="s">
        <v>1</v>
      </c>
      <c r="K305" t="s">
        <v>2</v>
      </c>
      <c r="L305" t="s">
        <v>3</v>
      </c>
      <c r="M305" t="s">
        <v>4</v>
      </c>
      <c r="N305" s="2">
        <v>10450</v>
      </c>
      <c r="O305" s="2">
        <v>10458.778</v>
      </c>
      <c r="P305" s="2">
        <v>8814.5750000000007</v>
      </c>
      <c r="Q305" t="s">
        <v>49</v>
      </c>
      <c r="R305" t="s">
        <v>23</v>
      </c>
      <c r="S305" t="s">
        <v>61</v>
      </c>
      <c r="T305" t="s">
        <v>8</v>
      </c>
    </row>
    <row r="306" spans="1:20" x14ac:dyDescent="0.25">
      <c r="A306" s="74">
        <f t="shared" ref="A306" si="128">P306+P307</f>
        <v>27641.440000000002</v>
      </c>
      <c r="B306" s="74" t="str">
        <f>'Весы 06.11.2023'!I60</f>
        <v>27380</v>
      </c>
      <c r="C306" s="70" t="str">
        <f>'Весы 06.11.2023'!K60</f>
        <v>-39</v>
      </c>
      <c r="D306" s="74">
        <f t="shared" ref="D306" si="129">B306-C306</f>
        <v>27419</v>
      </c>
      <c r="E306" s="72">
        <f t="shared" ref="E306" si="130">A306-D306</f>
        <v>222.44000000000233</v>
      </c>
      <c r="F306" t="s">
        <v>146</v>
      </c>
      <c r="G306" s="1">
        <v>45236</v>
      </c>
      <c r="H306" t="s">
        <v>159</v>
      </c>
      <c r="I306" t="s">
        <v>144</v>
      </c>
      <c r="J306" t="s">
        <v>20</v>
      </c>
      <c r="K306" t="s">
        <v>21</v>
      </c>
      <c r="L306" t="s">
        <v>3</v>
      </c>
      <c r="M306" t="s">
        <v>4</v>
      </c>
      <c r="N306" s="2">
        <v>18235</v>
      </c>
      <c r="O306" s="2">
        <v>18235</v>
      </c>
      <c r="P306" s="2">
        <v>15390.34</v>
      </c>
      <c r="Q306" t="s">
        <v>39</v>
      </c>
      <c r="R306" t="s">
        <v>23</v>
      </c>
      <c r="S306" t="s">
        <v>147</v>
      </c>
      <c r="T306" t="s">
        <v>8</v>
      </c>
    </row>
    <row r="307" spans="1:20" x14ac:dyDescent="0.25">
      <c r="A307" s="74"/>
      <c r="B307" s="74"/>
      <c r="C307" s="71"/>
      <c r="D307" s="74"/>
      <c r="E307" s="72"/>
      <c r="F307" t="s">
        <v>146</v>
      </c>
      <c r="G307" s="1">
        <v>45236</v>
      </c>
      <c r="H307" t="s">
        <v>159</v>
      </c>
      <c r="I307" t="s">
        <v>130</v>
      </c>
      <c r="J307" t="s">
        <v>1</v>
      </c>
      <c r="K307" t="s">
        <v>2</v>
      </c>
      <c r="L307" t="s">
        <v>3</v>
      </c>
      <c r="M307" t="s">
        <v>4</v>
      </c>
      <c r="N307" s="2">
        <v>14550</v>
      </c>
      <c r="O307" s="2">
        <v>14550</v>
      </c>
      <c r="P307" s="2">
        <v>12251.1</v>
      </c>
      <c r="Q307" t="s">
        <v>39</v>
      </c>
      <c r="R307" t="s">
        <v>23</v>
      </c>
      <c r="S307" t="s">
        <v>147</v>
      </c>
      <c r="T307" t="s">
        <v>8</v>
      </c>
    </row>
    <row r="308" spans="1:20" x14ac:dyDescent="0.25">
      <c r="A308" s="56">
        <f>P308</f>
        <v>26799</v>
      </c>
      <c r="B308" s="58" t="s">
        <v>1447</v>
      </c>
      <c r="C308" s="59"/>
      <c r="E308" s="61"/>
      <c r="F308" t="s">
        <v>98</v>
      </c>
      <c r="G308" s="1">
        <v>45234</v>
      </c>
      <c r="H308" t="s">
        <v>76</v>
      </c>
      <c r="I308" t="s">
        <v>85</v>
      </c>
      <c r="J308" t="s">
        <v>1</v>
      </c>
      <c r="K308" t="s">
        <v>2</v>
      </c>
      <c r="L308" t="s">
        <v>3</v>
      </c>
      <c r="M308" t="s">
        <v>4</v>
      </c>
      <c r="N308" s="2">
        <v>31980</v>
      </c>
      <c r="O308" s="2">
        <v>32007.118999999999</v>
      </c>
      <c r="P308" s="2">
        <v>26799</v>
      </c>
      <c r="Q308" t="s">
        <v>49</v>
      </c>
      <c r="R308" t="s">
        <v>6</v>
      </c>
      <c r="S308" t="s">
        <v>99</v>
      </c>
      <c r="T308" t="s">
        <v>8</v>
      </c>
    </row>
    <row r="309" spans="1:20" x14ac:dyDescent="0.25">
      <c r="A309" s="74">
        <f>P309+P310+P311+P312</f>
        <v>25734.02</v>
      </c>
      <c r="B309" s="74" t="str">
        <f>'Весы 06.11.2023'!I71</f>
        <v>25440</v>
      </c>
      <c r="C309" s="70" t="str">
        <f>'Весы 06.11.2023'!K71</f>
        <v>-38</v>
      </c>
      <c r="D309" s="74">
        <f>B309-C309</f>
        <v>25478</v>
      </c>
      <c r="E309" s="72">
        <f>A309-D309</f>
        <v>256.02000000000044</v>
      </c>
      <c r="F309" t="s">
        <v>65</v>
      </c>
      <c r="G309" s="1">
        <v>45236</v>
      </c>
      <c r="H309" t="s">
        <v>196</v>
      </c>
      <c r="I309" t="s">
        <v>103</v>
      </c>
      <c r="J309" t="s">
        <v>16</v>
      </c>
      <c r="K309" t="s">
        <v>17</v>
      </c>
      <c r="L309" t="s">
        <v>3</v>
      </c>
      <c r="M309" t="s">
        <v>4</v>
      </c>
      <c r="N309" s="2">
        <v>6705</v>
      </c>
      <c r="O309" s="2">
        <v>6721.3069999999998</v>
      </c>
      <c r="P309" s="2">
        <v>4998.58</v>
      </c>
      <c r="Q309" t="s">
        <v>55</v>
      </c>
      <c r="R309" t="s">
        <v>6</v>
      </c>
      <c r="S309" t="s">
        <v>66</v>
      </c>
      <c r="T309" t="s">
        <v>8</v>
      </c>
    </row>
    <row r="310" spans="1:20" x14ac:dyDescent="0.25">
      <c r="A310" s="74"/>
      <c r="B310" s="74"/>
      <c r="C310" s="71"/>
      <c r="D310" s="74"/>
      <c r="E310" s="72"/>
      <c r="F310" t="s">
        <v>65</v>
      </c>
      <c r="G310" s="1">
        <v>45236</v>
      </c>
      <c r="H310" t="s">
        <v>196</v>
      </c>
      <c r="I310" t="s">
        <v>93</v>
      </c>
      <c r="J310" t="s">
        <v>11</v>
      </c>
      <c r="K310" t="s">
        <v>12</v>
      </c>
      <c r="L310" t="s">
        <v>3</v>
      </c>
      <c r="M310" t="s">
        <v>4</v>
      </c>
      <c r="N310" s="2">
        <v>6980</v>
      </c>
      <c r="O310" s="2">
        <v>6996.7169999999996</v>
      </c>
      <c r="P310" s="2">
        <v>5255.9409999999998</v>
      </c>
      <c r="Q310" t="s">
        <v>55</v>
      </c>
      <c r="R310" t="s">
        <v>6</v>
      </c>
      <c r="S310" t="s">
        <v>66</v>
      </c>
      <c r="T310" t="s">
        <v>8</v>
      </c>
    </row>
    <row r="311" spans="1:20" x14ac:dyDescent="0.25">
      <c r="A311" s="74"/>
      <c r="B311" s="74"/>
      <c r="C311" s="71"/>
      <c r="D311" s="74"/>
      <c r="E311" s="72"/>
      <c r="F311" t="s">
        <v>65</v>
      </c>
      <c r="G311" s="1">
        <v>45236</v>
      </c>
      <c r="H311" t="s">
        <v>196</v>
      </c>
      <c r="I311" t="s">
        <v>164</v>
      </c>
      <c r="J311" t="s">
        <v>20</v>
      </c>
      <c r="K311" t="s">
        <v>21</v>
      </c>
      <c r="L311" t="s">
        <v>3</v>
      </c>
      <c r="M311" t="s">
        <v>4</v>
      </c>
      <c r="N311" s="2">
        <v>6965</v>
      </c>
      <c r="O311" s="2">
        <v>6959.17</v>
      </c>
      <c r="P311" s="2">
        <v>5881.9440000000004</v>
      </c>
      <c r="Q311" t="s">
        <v>48</v>
      </c>
      <c r="R311" t="s">
        <v>6</v>
      </c>
      <c r="S311" t="s">
        <v>66</v>
      </c>
      <c r="T311" t="s">
        <v>8</v>
      </c>
    </row>
    <row r="312" spans="1:20" x14ac:dyDescent="0.25">
      <c r="A312" s="74"/>
      <c r="B312" s="74"/>
      <c r="C312" s="71"/>
      <c r="D312" s="74"/>
      <c r="E312" s="72"/>
      <c r="F312" t="s">
        <v>65</v>
      </c>
      <c r="G312" s="1">
        <v>45236</v>
      </c>
      <c r="H312" t="s">
        <v>196</v>
      </c>
      <c r="I312" t="s">
        <v>133</v>
      </c>
      <c r="J312" t="s">
        <v>1</v>
      </c>
      <c r="K312" t="s">
        <v>2</v>
      </c>
      <c r="L312" t="s">
        <v>3</v>
      </c>
      <c r="M312" t="s">
        <v>4</v>
      </c>
      <c r="N312" s="2">
        <v>11385</v>
      </c>
      <c r="O312" s="2">
        <v>11385</v>
      </c>
      <c r="P312" s="2">
        <v>9597.5550000000003</v>
      </c>
      <c r="Q312" t="s">
        <v>39</v>
      </c>
      <c r="R312" t="s">
        <v>6</v>
      </c>
      <c r="S312" t="s">
        <v>66</v>
      </c>
      <c r="T312" t="s">
        <v>8</v>
      </c>
    </row>
    <row r="313" spans="1:20" x14ac:dyDescent="0.25">
      <c r="A313" s="74">
        <f>SUM(P313:P317)</f>
        <v>25372.751</v>
      </c>
      <c r="B313" s="74" t="str">
        <f>'Весы 06.11.2023'!I67</f>
        <v>25060</v>
      </c>
      <c r="C313" s="70" t="str">
        <f>'Весы 06.11.2023'!K67</f>
        <v>-31</v>
      </c>
      <c r="D313" s="74">
        <f>B313-C313</f>
        <v>25091</v>
      </c>
      <c r="E313" s="72">
        <f>A313-D313</f>
        <v>281.7510000000002</v>
      </c>
      <c r="F313" t="s">
        <v>44</v>
      </c>
      <c r="G313" s="1">
        <v>45236</v>
      </c>
      <c r="H313" t="s">
        <v>251</v>
      </c>
      <c r="I313" t="s">
        <v>109</v>
      </c>
      <c r="J313" t="s">
        <v>16</v>
      </c>
      <c r="K313" t="s">
        <v>17</v>
      </c>
      <c r="L313" t="s">
        <v>3</v>
      </c>
      <c r="M313" t="s">
        <v>4</v>
      </c>
      <c r="N313" s="2">
        <v>4800</v>
      </c>
      <c r="O313" s="2">
        <v>4805.75</v>
      </c>
      <c r="P313" s="2">
        <v>3609.6</v>
      </c>
      <c r="Q313" t="s">
        <v>49</v>
      </c>
      <c r="R313" t="s">
        <v>6</v>
      </c>
      <c r="S313" t="s">
        <v>45</v>
      </c>
      <c r="T313" t="s">
        <v>8</v>
      </c>
    </row>
    <row r="314" spans="1:20" x14ac:dyDescent="0.25">
      <c r="A314" s="74"/>
      <c r="B314" s="74"/>
      <c r="C314" s="71"/>
      <c r="D314" s="74"/>
      <c r="E314" s="72"/>
      <c r="F314" t="s">
        <v>44</v>
      </c>
      <c r="G314" s="1">
        <v>45236</v>
      </c>
      <c r="H314" t="s">
        <v>251</v>
      </c>
      <c r="I314" t="s">
        <v>141</v>
      </c>
      <c r="J314" t="s">
        <v>11</v>
      </c>
      <c r="K314" t="s">
        <v>12</v>
      </c>
      <c r="L314" t="s">
        <v>3</v>
      </c>
      <c r="M314" t="s">
        <v>4</v>
      </c>
      <c r="N314" s="2">
        <v>4900</v>
      </c>
      <c r="O314" s="2">
        <v>4905.8559999999998</v>
      </c>
      <c r="P314" s="2">
        <v>3692.152</v>
      </c>
      <c r="Q314" t="s">
        <v>49</v>
      </c>
      <c r="R314" t="s">
        <v>6</v>
      </c>
      <c r="S314" t="s">
        <v>45</v>
      </c>
      <c r="T314" t="s">
        <v>8</v>
      </c>
    </row>
    <row r="315" spans="1:20" x14ac:dyDescent="0.25">
      <c r="A315" s="74"/>
      <c r="B315" s="74"/>
      <c r="C315" s="71"/>
      <c r="D315" s="74"/>
      <c r="E315" s="72"/>
      <c r="F315" t="s">
        <v>44</v>
      </c>
      <c r="G315" s="1">
        <v>45236</v>
      </c>
      <c r="H315" t="s">
        <v>251</v>
      </c>
      <c r="I315" t="s">
        <v>144</v>
      </c>
      <c r="J315" t="s">
        <v>20</v>
      </c>
      <c r="K315" t="s">
        <v>21</v>
      </c>
      <c r="L315" t="s">
        <v>3</v>
      </c>
      <c r="M315" t="s">
        <v>4</v>
      </c>
      <c r="N315" s="2">
        <v>4800</v>
      </c>
      <c r="O315" s="2">
        <v>4795.9780000000001</v>
      </c>
      <c r="P315" s="2">
        <v>4051.2</v>
      </c>
      <c r="Q315" t="s">
        <v>48</v>
      </c>
      <c r="R315" t="s">
        <v>6</v>
      </c>
      <c r="S315" t="s">
        <v>45</v>
      </c>
      <c r="T315" t="s">
        <v>8</v>
      </c>
    </row>
    <row r="316" spans="1:20" x14ac:dyDescent="0.25">
      <c r="A316" s="74"/>
      <c r="B316" s="74"/>
      <c r="C316" s="71"/>
      <c r="D316" s="74"/>
      <c r="E316" s="72"/>
      <c r="F316" t="s">
        <v>44</v>
      </c>
      <c r="G316" s="1">
        <v>45236</v>
      </c>
      <c r="H316" t="s">
        <v>251</v>
      </c>
      <c r="I316" t="s">
        <v>144</v>
      </c>
      <c r="J316" t="s">
        <v>1</v>
      </c>
      <c r="K316" t="s">
        <v>2</v>
      </c>
      <c r="L316" t="s">
        <v>3</v>
      </c>
      <c r="M316" t="s">
        <v>4</v>
      </c>
      <c r="N316" s="2">
        <v>11900</v>
      </c>
      <c r="O316" s="2">
        <v>11890.028</v>
      </c>
      <c r="P316" s="2">
        <v>10043.599</v>
      </c>
      <c r="Q316" t="s">
        <v>48</v>
      </c>
      <c r="R316" t="s">
        <v>6</v>
      </c>
      <c r="S316" t="s">
        <v>45</v>
      </c>
      <c r="T316" t="s">
        <v>8</v>
      </c>
    </row>
    <row r="317" spans="1:20" x14ac:dyDescent="0.25">
      <c r="A317" s="74"/>
      <c r="B317" s="74"/>
      <c r="C317" s="71"/>
      <c r="D317" s="74"/>
      <c r="E317" s="72"/>
      <c r="F317" t="s">
        <v>44</v>
      </c>
      <c r="G317" s="1">
        <v>45236</v>
      </c>
      <c r="H317" t="s">
        <v>251</v>
      </c>
      <c r="I317" t="s">
        <v>254</v>
      </c>
      <c r="J317" t="s">
        <v>124</v>
      </c>
      <c r="K317" t="s">
        <v>125</v>
      </c>
      <c r="L317" t="s">
        <v>3</v>
      </c>
      <c r="M317" t="s">
        <v>4</v>
      </c>
      <c r="N317" s="2">
        <v>4700</v>
      </c>
      <c r="O317" s="2">
        <v>4700</v>
      </c>
      <c r="P317" s="2">
        <v>3976.2</v>
      </c>
      <c r="Q317" t="s">
        <v>39</v>
      </c>
      <c r="R317" t="s">
        <v>6</v>
      </c>
      <c r="S317" t="s">
        <v>45</v>
      </c>
      <c r="T317" t="s">
        <v>8</v>
      </c>
    </row>
    <row r="318" spans="1:20" x14ac:dyDescent="0.25">
      <c r="A318" s="74">
        <f>P318+P319+P320</f>
        <v>25218.633000000002</v>
      </c>
      <c r="B318" s="74" t="str">
        <f>'Весы 06.11.2023'!I68</f>
        <v>24920</v>
      </c>
      <c r="C318" s="70" t="str">
        <f>'Весы 06.11.2023'!K68</f>
        <v>-34</v>
      </c>
      <c r="D318" s="74">
        <f>B318-C318</f>
        <v>24954</v>
      </c>
      <c r="E318" s="72">
        <f>A318-D318</f>
        <v>264.63300000000163</v>
      </c>
      <c r="F318" t="s">
        <v>18</v>
      </c>
      <c r="G318" s="1">
        <v>45236</v>
      </c>
      <c r="H318" t="s">
        <v>263</v>
      </c>
      <c r="I318" t="s">
        <v>93</v>
      </c>
      <c r="J318" t="s">
        <v>11</v>
      </c>
      <c r="K318" t="s">
        <v>12</v>
      </c>
      <c r="L318" t="s">
        <v>3</v>
      </c>
      <c r="M318" t="s">
        <v>4</v>
      </c>
      <c r="N318" s="2">
        <v>7665</v>
      </c>
      <c r="O318" s="2">
        <v>7683.3580000000002</v>
      </c>
      <c r="P318" s="2">
        <v>5771.7460000000001</v>
      </c>
      <c r="Q318" t="s">
        <v>55</v>
      </c>
      <c r="R318" t="s">
        <v>6</v>
      </c>
      <c r="S318" t="s">
        <v>19</v>
      </c>
      <c r="T318" t="s">
        <v>8</v>
      </c>
    </row>
    <row r="319" spans="1:20" x14ac:dyDescent="0.25">
      <c r="A319" s="74"/>
      <c r="B319" s="74"/>
      <c r="C319" s="71"/>
      <c r="D319" s="74"/>
      <c r="E319" s="72"/>
      <c r="F319" t="s">
        <v>18</v>
      </c>
      <c r="G319" s="1">
        <v>45236</v>
      </c>
      <c r="H319" t="s">
        <v>263</v>
      </c>
      <c r="I319" t="s">
        <v>164</v>
      </c>
      <c r="J319" t="s">
        <v>20</v>
      </c>
      <c r="K319" t="s">
        <v>21</v>
      </c>
      <c r="L319" t="s">
        <v>3</v>
      </c>
      <c r="M319" t="s">
        <v>4</v>
      </c>
      <c r="N319" s="2">
        <v>7680</v>
      </c>
      <c r="O319" s="2">
        <v>7673.5720000000001</v>
      </c>
      <c r="P319" s="2">
        <v>6485.7619999999997</v>
      </c>
      <c r="Q319" t="s">
        <v>48</v>
      </c>
      <c r="R319" t="s">
        <v>6</v>
      </c>
      <c r="S319" t="s">
        <v>19</v>
      </c>
      <c r="T319" t="s">
        <v>8</v>
      </c>
    </row>
    <row r="320" spans="1:20" x14ac:dyDescent="0.25">
      <c r="A320" s="74"/>
      <c r="B320" s="74"/>
      <c r="C320" s="71"/>
      <c r="D320" s="74"/>
      <c r="E320" s="72"/>
      <c r="F320" t="s">
        <v>18</v>
      </c>
      <c r="G320" s="1">
        <v>45236</v>
      </c>
      <c r="H320" t="s">
        <v>263</v>
      </c>
      <c r="I320" t="s">
        <v>133</v>
      </c>
      <c r="J320" t="s">
        <v>1</v>
      </c>
      <c r="K320" t="s">
        <v>2</v>
      </c>
      <c r="L320" t="s">
        <v>3</v>
      </c>
      <c r="M320" t="s">
        <v>4</v>
      </c>
      <c r="N320" s="2">
        <v>15375</v>
      </c>
      <c r="O320" s="2">
        <v>15375</v>
      </c>
      <c r="P320" s="2">
        <v>12961.125</v>
      </c>
      <c r="Q320" t="s">
        <v>39</v>
      </c>
      <c r="R320" t="s">
        <v>6</v>
      </c>
      <c r="S320" t="s">
        <v>19</v>
      </c>
      <c r="T320" t="s">
        <v>8</v>
      </c>
    </row>
    <row r="321" spans="1:20" x14ac:dyDescent="0.25">
      <c r="A321" s="74">
        <f>P321+P322+P323+P324</f>
        <v>19400.624</v>
      </c>
      <c r="B321" s="74" t="str">
        <f>'Весы 06.11.2023'!I66</f>
        <v>19200</v>
      </c>
      <c r="C321" s="70" t="str">
        <f>'Весы 06.11.2023'!K66</f>
        <v>-11</v>
      </c>
      <c r="D321" s="74">
        <f>B321-C321</f>
        <v>19211</v>
      </c>
      <c r="E321" s="72">
        <f>A321-D321</f>
        <v>189.6239999999998</v>
      </c>
      <c r="F321" t="s">
        <v>22</v>
      </c>
      <c r="G321" s="1">
        <v>45236</v>
      </c>
      <c r="H321" t="s">
        <v>217</v>
      </c>
      <c r="I321" t="s">
        <v>10</v>
      </c>
      <c r="J321" t="s">
        <v>16</v>
      </c>
      <c r="K321" t="s">
        <v>17</v>
      </c>
      <c r="L321" t="s">
        <v>3</v>
      </c>
      <c r="M321" t="s">
        <v>4</v>
      </c>
      <c r="N321" s="2">
        <v>4050</v>
      </c>
      <c r="O321" s="2">
        <v>4059.7280000000001</v>
      </c>
      <c r="P321" s="2">
        <v>3043.5749999999998</v>
      </c>
      <c r="Q321" t="s">
        <v>55</v>
      </c>
      <c r="R321" t="s">
        <v>23</v>
      </c>
      <c r="S321" t="s">
        <v>24</v>
      </c>
      <c r="T321" t="s">
        <v>8</v>
      </c>
    </row>
    <row r="322" spans="1:20" x14ac:dyDescent="0.25">
      <c r="A322" s="74"/>
      <c r="B322" s="74"/>
      <c r="C322" s="71"/>
      <c r="D322" s="74"/>
      <c r="E322" s="72"/>
      <c r="F322" t="s">
        <v>22</v>
      </c>
      <c r="G322" s="1">
        <v>45236</v>
      </c>
      <c r="H322" t="s">
        <v>217</v>
      </c>
      <c r="I322" t="s">
        <v>144</v>
      </c>
      <c r="J322" t="s">
        <v>20</v>
      </c>
      <c r="K322" t="s">
        <v>21</v>
      </c>
      <c r="L322" t="s">
        <v>3</v>
      </c>
      <c r="M322" t="s">
        <v>4</v>
      </c>
      <c r="N322" s="2">
        <v>3055</v>
      </c>
      <c r="O322" s="2">
        <v>3052.44</v>
      </c>
      <c r="P322" s="2">
        <v>2578.42</v>
      </c>
      <c r="Q322" t="s">
        <v>48</v>
      </c>
      <c r="R322" t="s">
        <v>23</v>
      </c>
      <c r="S322" t="s">
        <v>24</v>
      </c>
      <c r="T322" t="s">
        <v>8</v>
      </c>
    </row>
    <row r="323" spans="1:20" x14ac:dyDescent="0.25">
      <c r="A323" s="74"/>
      <c r="B323" s="74"/>
      <c r="C323" s="71"/>
      <c r="D323" s="74"/>
      <c r="E323" s="72"/>
      <c r="F323" t="s">
        <v>22</v>
      </c>
      <c r="G323" s="1">
        <v>45236</v>
      </c>
      <c r="H323" t="s">
        <v>217</v>
      </c>
      <c r="I323" t="s">
        <v>141</v>
      </c>
      <c r="J323" t="s">
        <v>11</v>
      </c>
      <c r="K323" t="s">
        <v>12</v>
      </c>
      <c r="L323" t="s">
        <v>3</v>
      </c>
      <c r="M323" t="s">
        <v>4</v>
      </c>
      <c r="N323" s="2">
        <v>5965</v>
      </c>
      <c r="O323" s="2">
        <v>5972.1279999999997</v>
      </c>
      <c r="P323" s="2">
        <v>4494.63</v>
      </c>
      <c r="Q323" t="s">
        <v>49</v>
      </c>
      <c r="R323" t="s">
        <v>23</v>
      </c>
      <c r="S323" t="s">
        <v>24</v>
      </c>
      <c r="T323" t="s">
        <v>8</v>
      </c>
    </row>
    <row r="324" spans="1:20" x14ac:dyDescent="0.25">
      <c r="A324" s="74"/>
      <c r="B324" s="74"/>
      <c r="C324" s="71"/>
      <c r="D324" s="74"/>
      <c r="E324" s="72"/>
      <c r="F324" t="s">
        <v>22</v>
      </c>
      <c r="G324" s="1">
        <v>45236</v>
      </c>
      <c r="H324" t="s">
        <v>217</v>
      </c>
      <c r="I324" t="s">
        <v>144</v>
      </c>
      <c r="J324" t="s">
        <v>1</v>
      </c>
      <c r="K324" t="s">
        <v>2</v>
      </c>
      <c r="L324" t="s">
        <v>3</v>
      </c>
      <c r="M324" t="s">
        <v>4</v>
      </c>
      <c r="N324" s="2">
        <v>11000</v>
      </c>
      <c r="O324" s="2">
        <v>10990.781999999999</v>
      </c>
      <c r="P324" s="2">
        <v>9283.9989999999998</v>
      </c>
      <c r="Q324" t="s">
        <v>48</v>
      </c>
      <c r="R324" t="s">
        <v>23</v>
      </c>
      <c r="S324" t="s">
        <v>24</v>
      </c>
      <c r="T324" t="s">
        <v>8</v>
      </c>
    </row>
    <row r="325" spans="1:20" x14ac:dyDescent="0.25">
      <c r="A325" s="74">
        <f>P325+P326+P327+P328</f>
        <v>26725.496999999999</v>
      </c>
      <c r="B325" s="74" t="str">
        <f>'Весы 06.11.2023'!I62</f>
        <v>26400</v>
      </c>
      <c r="C325" s="70" t="str">
        <f>'Весы 06.11.2023'!K62</f>
        <v>-35</v>
      </c>
      <c r="D325" s="74">
        <f>B325-C325</f>
        <v>26435</v>
      </c>
      <c r="E325" s="72">
        <f>A325-D325</f>
        <v>290.49699999999939</v>
      </c>
      <c r="F325" t="s">
        <v>32</v>
      </c>
      <c r="G325" s="1">
        <v>45236</v>
      </c>
      <c r="H325" t="s">
        <v>237</v>
      </c>
      <c r="I325" t="s">
        <v>144</v>
      </c>
      <c r="J325" t="s">
        <v>1</v>
      </c>
      <c r="K325" t="s">
        <v>2</v>
      </c>
      <c r="L325" t="s">
        <v>3</v>
      </c>
      <c r="M325" t="s">
        <v>4</v>
      </c>
      <c r="N325" s="2">
        <v>10000</v>
      </c>
      <c r="O325" s="2">
        <v>9991.6200000000008</v>
      </c>
      <c r="P325" s="2">
        <v>8439.9989999999998</v>
      </c>
      <c r="Q325" t="s">
        <v>48</v>
      </c>
      <c r="R325" t="s">
        <v>23</v>
      </c>
      <c r="S325" t="s">
        <v>34</v>
      </c>
      <c r="T325" t="s">
        <v>8</v>
      </c>
    </row>
    <row r="326" spans="1:20" x14ac:dyDescent="0.25">
      <c r="A326" s="74"/>
      <c r="B326" s="74"/>
      <c r="C326" s="71"/>
      <c r="D326" s="74"/>
      <c r="E326" s="72"/>
      <c r="F326" t="s">
        <v>32</v>
      </c>
      <c r="G326" s="1">
        <v>45236</v>
      </c>
      <c r="H326" t="s">
        <v>237</v>
      </c>
      <c r="I326" t="s">
        <v>10</v>
      </c>
      <c r="J326" t="s">
        <v>16</v>
      </c>
      <c r="K326" t="s">
        <v>17</v>
      </c>
      <c r="L326" t="s">
        <v>3</v>
      </c>
      <c r="M326" t="s">
        <v>4</v>
      </c>
      <c r="N326" s="2">
        <v>5000</v>
      </c>
      <c r="O326" s="2">
        <v>5018.04</v>
      </c>
      <c r="P326" s="2">
        <v>3757.498</v>
      </c>
      <c r="Q326" t="s">
        <v>51</v>
      </c>
      <c r="R326" t="s">
        <v>23</v>
      </c>
      <c r="S326" t="s">
        <v>34</v>
      </c>
      <c r="T326" t="s">
        <v>8</v>
      </c>
    </row>
    <row r="327" spans="1:20" x14ac:dyDescent="0.25">
      <c r="A327" s="74"/>
      <c r="B327" s="74"/>
      <c r="C327" s="71"/>
      <c r="D327" s="74"/>
      <c r="E327" s="72"/>
      <c r="F327" t="s">
        <v>32</v>
      </c>
      <c r="G327" s="1">
        <v>45236</v>
      </c>
      <c r="H327" t="s">
        <v>237</v>
      </c>
      <c r="I327" t="s">
        <v>141</v>
      </c>
      <c r="J327" t="s">
        <v>11</v>
      </c>
      <c r="K327" t="s">
        <v>12</v>
      </c>
      <c r="L327" t="s">
        <v>3</v>
      </c>
      <c r="M327" t="s">
        <v>4</v>
      </c>
      <c r="N327" s="2">
        <v>12000</v>
      </c>
      <c r="O327" s="2">
        <v>12043.128000000001</v>
      </c>
      <c r="P327" s="2">
        <v>9042.0010000000002</v>
      </c>
      <c r="Q327" t="s">
        <v>51</v>
      </c>
      <c r="R327" t="s">
        <v>23</v>
      </c>
      <c r="S327" t="s">
        <v>34</v>
      </c>
      <c r="T327" t="s">
        <v>8</v>
      </c>
    </row>
    <row r="328" spans="1:20" x14ac:dyDescent="0.25">
      <c r="A328" s="74"/>
      <c r="B328" s="74"/>
      <c r="C328" s="71"/>
      <c r="D328" s="74"/>
      <c r="E328" s="72"/>
      <c r="F328" t="s">
        <v>32</v>
      </c>
      <c r="G328" s="1">
        <v>45236</v>
      </c>
      <c r="H328" t="s">
        <v>237</v>
      </c>
      <c r="I328" t="s">
        <v>144</v>
      </c>
      <c r="J328" t="s">
        <v>20</v>
      </c>
      <c r="K328" t="s">
        <v>21</v>
      </c>
      <c r="L328" t="s">
        <v>3</v>
      </c>
      <c r="M328" t="s">
        <v>4</v>
      </c>
      <c r="N328" s="2">
        <v>6500</v>
      </c>
      <c r="O328" s="2">
        <v>6494.5529999999999</v>
      </c>
      <c r="P328" s="2">
        <v>5485.9989999999998</v>
      </c>
      <c r="Q328" t="s">
        <v>48</v>
      </c>
      <c r="R328" t="s">
        <v>23</v>
      </c>
      <c r="S328" t="s">
        <v>34</v>
      </c>
      <c r="T328" t="s">
        <v>8</v>
      </c>
    </row>
    <row r="329" spans="1:20" x14ac:dyDescent="0.25">
      <c r="A329" s="74">
        <f>P329+P330+P331</f>
        <v>27116.274000000001</v>
      </c>
      <c r="B329" s="74" t="str">
        <f>'Весы 06.11.2023'!I69</f>
        <v>26800</v>
      </c>
      <c r="C329" s="74" t="str">
        <f>'Весы 06.11.2023'!K69</f>
        <v>-36</v>
      </c>
      <c r="D329" s="74">
        <f>B329-C329</f>
        <v>26836</v>
      </c>
      <c r="E329" s="72">
        <f>A329-D329</f>
        <v>280.27400000000125</v>
      </c>
      <c r="F329" t="s">
        <v>46</v>
      </c>
      <c r="G329" s="1">
        <v>45236</v>
      </c>
      <c r="H329" t="s">
        <v>240</v>
      </c>
      <c r="I329" t="s">
        <v>164</v>
      </c>
      <c r="J329" t="s">
        <v>20</v>
      </c>
      <c r="K329" t="s">
        <v>21</v>
      </c>
      <c r="L329" t="s">
        <v>3</v>
      </c>
      <c r="M329" t="s">
        <v>4</v>
      </c>
      <c r="N329" s="2">
        <v>6405</v>
      </c>
      <c r="O329" s="2">
        <v>6399.6390000000001</v>
      </c>
      <c r="P329" s="2">
        <v>5409.0240000000003</v>
      </c>
      <c r="Q329" t="s">
        <v>48</v>
      </c>
      <c r="R329" t="s">
        <v>23</v>
      </c>
      <c r="S329" t="s">
        <v>47</v>
      </c>
      <c r="T329" t="s">
        <v>8</v>
      </c>
    </row>
    <row r="330" spans="1:20" x14ac:dyDescent="0.25">
      <c r="A330" s="74"/>
      <c r="B330" s="74"/>
      <c r="C330" s="74"/>
      <c r="D330" s="74"/>
      <c r="E330" s="72"/>
      <c r="F330" t="s">
        <v>46</v>
      </c>
      <c r="G330" s="1">
        <v>45236</v>
      </c>
      <c r="H330" t="s">
        <v>240</v>
      </c>
      <c r="I330" t="s">
        <v>133</v>
      </c>
      <c r="J330" t="s">
        <v>1</v>
      </c>
      <c r="K330" t="s">
        <v>2</v>
      </c>
      <c r="L330" t="s">
        <v>3</v>
      </c>
      <c r="M330" t="s">
        <v>4</v>
      </c>
      <c r="N330" s="2">
        <v>12855</v>
      </c>
      <c r="O330" s="2">
        <v>12855</v>
      </c>
      <c r="P330" s="2">
        <v>10836.764999999999</v>
      </c>
      <c r="Q330" t="s">
        <v>39</v>
      </c>
      <c r="R330" t="s">
        <v>23</v>
      </c>
      <c r="S330" t="s">
        <v>47</v>
      </c>
      <c r="T330" t="s">
        <v>8</v>
      </c>
    </row>
    <row r="331" spans="1:20" x14ac:dyDescent="0.25">
      <c r="A331" s="74"/>
      <c r="B331" s="74"/>
      <c r="C331" s="74"/>
      <c r="D331" s="74"/>
      <c r="E331" s="72"/>
      <c r="F331" t="s">
        <v>46</v>
      </c>
      <c r="G331" s="1">
        <v>45236</v>
      </c>
      <c r="H331" t="s">
        <v>180</v>
      </c>
      <c r="I331" t="s">
        <v>133</v>
      </c>
      <c r="J331" t="s">
        <v>1</v>
      </c>
      <c r="K331" t="s">
        <v>2</v>
      </c>
      <c r="L331" t="s">
        <v>3</v>
      </c>
      <c r="M331" t="s">
        <v>4</v>
      </c>
      <c r="N331" s="2">
        <v>12895</v>
      </c>
      <c r="O331" s="2">
        <v>12895</v>
      </c>
      <c r="P331" s="2">
        <v>10870.485000000001</v>
      </c>
      <c r="Q331" t="s">
        <v>39</v>
      </c>
      <c r="R331" t="s">
        <v>23</v>
      </c>
      <c r="S331" t="s">
        <v>47</v>
      </c>
      <c r="T331" t="s">
        <v>8</v>
      </c>
    </row>
    <row r="332" spans="1:20" x14ac:dyDescent="0.25">
      <c r="E332" s="62">
        <f>SUM(E266:E331)</f>
        <v>4922.1540000000059</v>
      </c>
      <c r="G332" s="1"/>
      <c r="N332" s="2"/>
      <c r="O332" s="2"/>
      <c r="P332" s="2"/>
    </row>
    <row r="333" spans="1:20" x14ac:dyDescent="0.25">
      <c r="G333" s="1"/>
      <c r="N333" s="2"/>
      <c r="O333" s="2"/>
      <c r="P333" s="2"/>
    </row>
    <row r="334" spans="1:20" x14ac:dyDescent="0.25">
      <c r="A334" s="74">
        <f>P334+P335+P336</f>
        <v>24397.887999999999</v>
      </c>
      <c r="B334" s="74" t="str">
        <f>'Весы 07.11.2023'!I48</f>
        <v>24350</v>
      </c>
      <c r="C334" s="70" t="str">
        <f>'Весы 07.11.2023'!K48</f>
        <v>-48</v>
      </c>
      <c r="D334" s="74">
        <f>B334-C334</f>
        <v>24398</v>
      </c>
      <c r="E334" s="74">
        <f>A334-D334</f>
        <v>-0.11200000000098953</v>
      </c>
      <c r="F334" t="s">
        <v>5</v>
      </c>
      <c r="G334" s="1">
        <v>45237</v>
      </c>
      <c r="H334" t="s">
        <v>193</v>
      </c>
      <c r="I334" t="s">
        <v>53</v>
      </c>
      <c r="J334" t="s">
        <v>11</v>
      </c>
      <c r="K334" t="s">
        <v>12</v>
      </c>
      <c r="L334" t="s">
        <v>3</v>
      </c>
      <c r="M334" t="s">
        <v>4</v>
      </c>
      <c r="N334" s="2">
        <v>15410</v>
      </c>
      <c r="O334" s="2">
        <v>15522.955</v>
      </c>
      <c r="P334" s="2">
        <v>11495.858</v>
      </c>
      <c r="Q334" t="s">
        <v>138</v>
      </c>
      <c r="R334" t="s">
        <v>6</v>
      </c>
      <c r="S334" t="s">
        <v>102</v>
      </c>
      <c r="T334" t="s">
        <v>8</v>
      </c>
    </row>
    <row r="335" spans="1:20" x14ac:dyDescent="0.25">
      <c r="A335" s="74"/>
      <c r="B335" s="74"/>
      <c r="C335" s="71"/>
      <c r="D335" s="74"/>
      <c r="E335" s="74"/>
      <c r="F335" t="s">
        <v>5</v>
      </c>
      <c r="G335" s="1">
        <v>45237</v>
      </c>
      <c r="H335" t="s">
        <v>193</v>
      </c>
      <c r="I335" t="s">
        <v>95</v>
      </c>
      <c r="J335" t="s">
        <v>20</v>
      </c>
      <c r="K335" t="s">
        <v>21</v>
      </c>
      <c r="L335" t="s">
        <v>3</v>
      </c>
      <c r="M335" t="s">
        <v>4</v>
      </c>
      <c r="N335" s="2">
        <v>7695</v>
      </c>
      <c r="O335" s="2">
        <v>7721.2860000000001</v>
      </c>
      <c r="P335" s="2">
        <v>6440.7160000000003</v>
      </c>
      <c r="Q335" t="s">
        <v>73</v>
      </c>
      <c r="R335" t="s">
        <v>6</v>
      </c>
      <c r="S335" t="s">
        <v>102</v>
      </c>
      <c r="T335" t="s">
        <v>8</v>
      </c>
    </row>
    <row r="336" spans="1:20" x14ac:dyDescent="0.25">
      <c r="A336" s="74"/>
      <c r="B336" s="74"/>
      <c r="C336" s="71"/>
      <c r="D336" s="74"/>
      <c r="E336" s="74"/>
      <c r="F336" t="s">
        <v>5</v>
      </c>
      <c r="G336" s="1">
        <v>45237</v>
      </c>
      <c r="H336" t="s">
        <v>193</v>
      </c>
      <c r="I336" t="s">
        <v>52</v>
      </c>
      <c r="J336" t="s">
        <v>1</v>
      </c>
      <c r="K336" t="s">
        <v>2</v>
      </c>
      <c r="L336" t="s">
        <v>3</v>
      </c>
      <c r="M336" t="s">
        <v>4</v>
      </c>
      <c r="N336" s="2">
        <v>7715</v>
      </c>
      <c r="O336" s="2">
        <v>7741.3239999999996</v>
      </c>
      <c r="P336" s="2">
        <v>6461.3140000000003</v>
      </c>
      <c r="Q336" t="s">
        <v>73</v>
      </c>
      <c r="R336" t="s">
        <v>6</v>
      </c>
      <c r="S336" t="s">
        <v>102</v>
      </c>
      <c r="T336" t="s">
        <v>8</v>
      </c>
    </row>
    <row r="337" spans="1:20" x14ac:dyDescent="0.25">
      <c r="A337" s="74">
        <f>P337+P338+P339</f>
        <v>25898.383999999998</v>
      </c>
      <c r="B337" s="74" t="str">
        <f>'Весы 07.11.2023'!I49</f>
        <v>25870</v>
      </c>
      <c r="C337" s="70" t="str">
        <f>'Весы 07.11.2023'!K49</f>
        <v>-28</v>
      </c>
      <c r="D337" s="74">
        <f>B337-C337</f>
        <v>25898</v>
      </c>
      <c r="E337" s="74">
        <f>A337-D337</f>
        <v>0.38399999999819556</v>
      </c>
      <c r="F337" t="s">
        <v>58</v>
      </c>
      <c r="G337" s="1">
        <v>45237</v>
      </c>
      <c r="H337" t="s">
        <v>246</v>
      </c>
      <c r="I337" t="s">
        <v>54</v>
      </c>
      <c r="J337" t="s">
        <v>11</v>
      </c>
      <c r="K337" t="s">
        <v>12</v>
      </c>
      <c r="L337" t="s">
        <v>3</v>
      </c>
      <c r="M337" t="s">
        <v>4</v>
      </c>
      <c r="N337" s="2">
        <v>10000</v>
      </c>
      <c r="O337" s="2">
        <v>10073.23</v>
      </c>
      <c r="P337" s="2">
        <v>7465.0029999999997</v>
      </c>
      <c r="Q337" t="s">
        <v>138</v>
      </c>
      <c r="R337" t="s">
        <v>23</v>
      </c>
      <c r="S337" t="s">
        <v>59</v>
      </c>
      <c r="T337" t="s">
        <v>8</v>
      </c>
    </row>
    <row r="338" spans="1:20" x14ac:dyDescent="0.25">
      <c r="A338" s="74"/>
      <c r="B338" s="74"/>
      <c r="C338" s="71"/>
      <c r="D338" s="74"/>
      <c r="E338" s="74"/>
      <c r="F338" t="s">
        <v>58</v>
      </c>
      <c r="G338" s="1">
        <v>45237</v>
      </c>
      <c r="H338" t="s">
        <v>246</v>
      </c>
      <c r="I338" t="s">
        <v>52</v>
      </c>
      <c r="J338" t="s">
        <v>20</v>
      </c>
      <c r="K338" t="s">
        <v>21</v>
      </c>
      <c r="L338" t="s">
        <v>3</v>
      </c>
      <c r="M338" t="s">
        <v>4</v>
      </c>
      <c r="N338" s="2">
        <v>5005</v>
      </c>
      <c r="O338" s="2">
        <v>5022.0770000000002</v>
      </c>
      <c r="P338" s="2">
        <v>4191.6890000000003</v>
      </c>
      <c r="Q338" t="s">
        <v>73</v>
      </c>
      <c r="R338" t="s">
        <v>23</v>
      </c>
      <c r="S338" t="s">
        <v>59</v>
      </c>
      <c r="T338" t="s">
        <v>8</v>
      </c>
    </row>
    <row r="339" spans="1:20" x14ac:dyDescent="0.25">
      <c r="A339" s="74"/>
      <c r="B339" s="74"/>
      <c r="C339" s="71"/>
      <c r="D339" s="74"/>
      <c r="E339" s="74"/>
      <c r="F339" t="s">
        <v>58</v>
      </c>
      <c r="G339" s="1">
        <v>45237</v>
      </c>
      <c r="H339" t="s">
        <v>246</v>
      </c>
      <c r="I339" t="s">
        <v>52</v>
      </c>
      <c r="J339" t="s">
        <v>1</v>
      </c>
      <c r="K339" t="s">
        <v>2</v>
      </c>
      <c r="L339" t="s">
        <v>3</v>
      </c>
      <c r="M339" t="s">
        <v>4</v>
      </c>
      <c r="N339" s="2">
        <v>17005</v>
      </c>
      <c r="O339" s="2">
        <v>17063.021000000001</v>
      </c>
      <c r="P339" s="2">
        <v>14241.691999999999</v>
      </c>
      <c r="Q339" t="s">
        <v>73</v>
      </c>
      <c r="R339" t="s">
        <v>23</v>
      </c>
      <c r="S339" t="s">
        <v>59</v>
      </c>
      <c r="T339" t="s">
        <v>8</v>
      </c>
    </row>
    <row r="340" spans="1:20" x14ac:dyDescent="0.25">
      <c r="A340" s="74">
        <f>P340+P341+P342</f>
        <v>26701.995999999999</v>
      </c>
      <c r="B340" s="74" t="str">
        <f>'Весы 07.11.2023'!I47</f>
        <v>26650</v>
      </c>
      <c r="C340" s="70" t="str">
        <f>'Весы 07.11.2023'!K47</f>
        <v>-52</v>
      </c>
      <c r="D340" s="74">
        <f>B340-C340</f>
        <v>26702</v>
      </c>
      <c r="E340" s="74">
        <f>A340-D340</f>
        <v>-4.0000000008149073E-3</v>
      </c>
      <c r="F340" t="s">
        <v>28</v>
      </c>
      <c r="G340" s="1">
        <v>45237</v>
      </c>
      <c r="H340" t="s">
        <v>262</v>
      </c>
      <c r="I340" t="s">
        <v>64</v>
      </c>
      <c r="J340" t="s">
        <v>11</v>
      </c>
      <c r="K340" t="s">
        <v>12</v>
      </c>
      <c r="L340" t="s">
        <v>3</v>
      </c>
      <c r="M340" t="s">
        <v>4</v>
      </c>
      <c r="N340" s="2">
        <v>10000</v>
      </c>
      <c r="O340" s="2">
        <v>10073.15</v>
      </c>
      <c r="P340" s="2">
        <v>7469.9989999999998</v>
      </c>
      <c r="Q340" t="s">
        <v>138</v>
      </c>
      <c r="R340" t="s">
        <v>23</v>
      </c>
      <c r="S340" t="s">
        <v>29</v>
      </c>
      <c r="T340" t="s">
        <v>8</v>
      </c>
    </row>
    <row r="341" spans="1:20" x14ac:dyDescent="0.25">
      <c r="A341" s="74"/>
      <c r="B341" s="74"/>
      <c r="C341" s="71"/>
      <c r="D341" s="74"/>
      <c r="E341" s="74"/>
      <c r="F341" t="s">
        <v>28</v>
      </c>
      <c r="G341" s="1">
        <v>45237</v>
      </c>
      <c r="H341" t="s">
        <v>262</v>
      </c>
      <c r="I341" t="s">
        <v>95</v>
      </c>
      <c r="J341" t="s">
        <v>20</v>
      </c>
      <c r="K341" t="s">
        <v>21</v>
      </c>
      <c r="L341" t="s">
        <v>3</v>
      </c>
      <c r="M341" t="s">
        <v>4</v>
      </c>
      <c r="N341" s="2">
        <v>4000</v>
      </c>
      <c r="O341" s="2">
        <v>4013.6640000000002</v>
      </c>
      <c r="P341" s="2">
        <v>3348.0010000000002</v>
      </c>
      <c r="Q341" t="s">
        <v>73</v>
      </c>
      <c r="R341" t="s">
        <v>23</v>
      </c>
      <c r="S341" t="s">
        <v>29</v>
      </c>
      <c r="T341" t="s">
        <v>8</v>
      </c>
    </row>
    <row r="342" spans="1:20" x14ac:dyDescent="0.25">
      <c r="A342" s="74"/>
      <c r="B342" s="74"/>
      <c r="C342" s="71"/>
      <c r="D342" s="74"/>
      <c r="E342" s="74"/>
      <c r="F342" t="s">
        <v>28</v>
      </c>
      <c r="G342" s="1">
        <v>45237</v>
      </c>
      <c r="H342" t="s">
        <v>262</v>
      </c>
      <c r="I342" t="s">
        <v>68</v>
      </c>
      <c r="J342" t="s">
        <v>1</v>
      </c>
      <c r="K342" t="s">
        <v>2</v>
      </c>
      <c r="L342" t="s">
        <v>3</v>
      </c>
      <c r="M342" t="s">
        <v>4</v>
      </c>
      <c r="N342" s="2">
        <v>19000</v>
      </c>
      <c r="O342" s="2">
        <v>19081.434000000001</v>
      </c>
      <c r="P342" s="2">
        <v>15883.995999999999</v>
      </c>
      <c r="Q342" t="s">
        <v>75</v>
      </c>
      <c r="R342" t="s">
        <v>23</v>
      </c>
      <c r="S342" t="s">
        <v>29</v>
      </c>
      <c r="T342" t="s">
        <v>8</v>
      </c>
    </row>
    <row r="343" spans="1:20" x14ac:dyDescent="0.25">
      <c r="A343" s="74">
        <f>P343+P344+P345</f>
        <v>24920.896000000001</v>
      </c>
      <c r="B343" s="74" t="str">
        <f>'Весы 07.11.2023'!I50</f>
        <v>24880</v>
      </c>
      <c r="C343" s="70" t="str">
        <f>'Весы 07.11.2023'!K50</f>
        <v>-41</v>
      </c>
      <c r="D343" s="74">
        <f>B343-C343</f>
        <v>24921</v>
      </c>
      <c r="E343" s="74">
        <f>A343-D343</f>
        <v>-0.10399999999935972</v>
      </c>
      <c r="F343" t="s">
        <v>107</v>
      </c>
      <c r="G343" s="1">
        <v>45237</v>
      </c>
      <c r="H343" t="s">
        <v>203</v>
      </c>
      <c r="I343" t="s">
        <v>52</v>
      </c>
      <c r="J343" t="s">
        <v>20</v>
      </c>
      <c r="K343" t="s">
        <v>21</v>
      </c>
      <c r="L343" t="s">
        <v>3</v>
      </c>
      <c r="M343" t="s">
        <v>4</v>
      </c>
      <c r="N343" s="2">
        <v>5300</v>
      </c>
      <c r="O343" s="2">
        <v>5309.0150000000003</v>
      </c>
      <c r="P343" s="2">
        <v>4438.75</v>
      </c>
      <c r="Q343" t="s">
        <v>55</v>
      </c>
      <c r="R343" t="s">
        <v>23</v>
      </c>
      <c r="S343" t="s">
        <v>108</v>
      </c>
      <c r="T343" t="s">
        <v>8</v>
      </c>
    </row>
    <row r="344" spans="1:20" x14ac:dyDescent="0.25">
      <c r="A344" s="74"/>
      <c r="B344" s="74"/>
      <c r="C344" s="71"/>
      <c r="D344" s="74"/>
      <c r="E344" s="74"/>
      <c r="F344" t="s">
        <v>107</v>
      </c>
      <c r="G344" s="1">
        <v>45237</v>
      </c>
      <c r="H344" t="s">
        <v>203</v>
      </c>
      <c r="I344" t="s">
        <v>54</v>
      </c>
      <c r="J344" t="s">
        <v>11</v>
      </c>
      <c r="K344" t="s">
        <v>12</v>
      </c>
      <c r="L344" t="s">
        <v>3</v>
      </c>
      <c r="M344" t="s">
        <v>4</v>
      </c>
      <c r="N344" s="2">
        <v>10100</v>
      </c>
      <c r="O344" s="2">
        <v>10161.539000000001</v>
      </c>
      <c r="P344" s="2">
        <v>7539.6480000000001</v>
      </c>
      <c r="Q344" t="s">
        <v>75</v>
      </c>
      <c r="R344" t="s">
        <v>23</v>
      </c>
      <c r="S344" t="s">
        <v>108</v>
      </c>
      <c r="T344" t="s">
        <v>8</v>
      </c>
    </row>
    <row r="345" spans="1:20" x14ac:dyDescent="0.25">
      <c r="A345" s="74"/>
      <c r="B345" s="74"/>
      <c r="C345" s="71"/>
      <c r="D345" s="74"/>
      <c r="E345" s="74"/>
      <c r="F345" t="s">
        <v>107</v>
      </c>
      <c r="G345" s="1">
        <v>45237</v>
      </c>
      <c r="H345" t="s">
        <v>203</v>
      </c>
      <c r="I345" t="s">
        <v>35</v>
      </c>
      <c r="J345" t="s">
        <v>1</v>
      </c>
      <c r="K345" t="s">
        <v>2</v>
      </c>
      <c r="L345" t="s">
        <v>3</v>
      </c>
      <c r="M345" t="s">
        <v>4</v>
      </c>
      <c r="N345" s="2">
        <v>15500</v>
      </c>
      <c r="O345" s="2">
        <v>15526.521000000001</v>
      </c>
      <c r="P345" s="2">
        <v>12942.498</v>
      </c>
      <c r="Q345" t="s">
        <v>55</v>
      </c>
      <c r="R345" t="s">
        <v>23</v>
      </c>
      <c r="S345" t="s">
        <v>108</v>
      </c>
      <c r="T345" t="s">
        <v>8</v>
      </c>
    </row>
    <row r="346" spans="1:20" x14ac:dyDescent="0.25">
      <c r="A346" s="74">
        <f>P346+P347+P348</f>
        <v>26314.68</v>
      </c>
      <c r="B346" s="74" t="str">
        <f>'Весы 07.11.2023'!I45</f>
        <v>26280</v>
      </c>
      <c r="C346" s="70" t="str">
        <f>'Весы 07.11.2023'!K45</f>
        <v>-35</v>
      </c>
      <c r="D346" s="74">
        <f>B346-C346</f>
        <v>26315</v>
      </c>
      <c r="E346" s="74">
        <f>A346-D346</f>
        <v>-0.31999999999970896</v>
      </c>
      <c r="F346" t="s">
        <v>46</v>
      </c>
      <c r="G346" s="1">
        <v>45237</v>
      </c>
      <c r="H346" t="s">
        <v>197</v>
      </c>
      <c r="I346" t="s">
        <v>54</v>
      </c>
      <c r="J346" t="s">
        <v>11</v>
      </c>
      <c r="K346" t="s">
        <v>12</v>
      </c>
      <c r="L346" t="s">
        <v>3</v>
      </c>
      <c r="M346" t="s">
        <v>4</v>
      </c>
      <c r="N346" s="2">
        <v>6405</v>
      </c>
      <c r="O346" s="2">
        <v>6451.9040000000005</v>
      </c>
      <c r="P346" s="2">
        <v>4781.3339999999998</v>
      </c>
      <c r="Q346" t="s">
        <v>138</v>
      </c>
      <c r="R346" t="s">
        <v>23</v>
      </c>
      <c r="S346" t="s">
        <v>47</v>
      </c>
      <c r="T346" t="s">
        <v>8</v>
      </c>
    </row>
    <row r="347" spans="1:20" x14ac:dyDescent="0.25">
      <c r="A347" s="74"/>
      <c r="B347" s="74"/>
      <c r="C347" s="71"/>
      <c r="D347" s="74"/>
      <c r="E347" s="74"/>
      <c r="F347" t="s">
        <v>46</v>
      </c>
      <c r="G347" s="1">
        <v>45237</v>
      </c>
      <c r="H347" t="s">
        <v>197</v>
      </c>
      <c r="I347" t="s">
        <v>95</v>
      </c>
      <c r="J347" t="s">
        <v>20</v>
      </c>
      <c r="K347" t="s">
        <v>21</v>
      </c>
      <c r="L347" t="s">
        <v>3</v>
      </c>
      <c r="M347" t="s">
        <v>4</v>
      </c>
      <c r="N347" s="2">
        <v>12815</v>
      </c>
      <c r="O347" s="2">
        <v>12869.797</v>
      </c>
      <c r="P347" s="2">
        <v>10726.156000000001</v>
      </c>
      <c r="Q347" t="s">
        <v>75</v>
      </c>
      <c r="R347" t="s">
        <v>23</v>
      </c>
      <c r="S347" t="s">
        <v>47</v>
      </c>
      <c r="T347" t="s">
        <v>8</v>
      </c>
    </row>
    <row r="348" spans="1:20" x14ac:dyDescent="0.25">
      <c r="A348" s="74"/>
      <c r="B348" s="74"/>
      <c r="C348" s="71"/>
      <c r="D348" s="74"/>
      <c r="E348" s="74"/>
      <c r="F348" t="s">
        <v>46</v>
      </c>
      <c r="G348" s="1">
        <v>45237</v>
      </c>
      <c r="H348" t="s">
        <v>197</v>
      </c>
      <c r="I348" t="s">
        <v>50</v>
      </c>
      <c r="J348" t="s">
        <v>1</v>
      </c>
      <c r="K348" t="s">
        <v>2</v>
      </c>
      <c r="L348" t="s">
        <v>3</v>
      </c>
      <c r="M348" t="s">
        <v>4</v>
      </c>
      <c r="N348" s="2">
        <v>12935</v>
      </c>
      <c r="O348" s="2">
        <v>13001.706</v>
      </c>
      <c r="P348" s="2">
        <v>10807.19</v>
      </c>
      <c r="Q348" t="s">
        <v>138</v>
      </c>
      <c r="R348" t="s">
        <v>23</v>
      </c>
      <c r="S348" t="s">
        <v>47</v>
      </c>
      <c r="T348" t="s">
        <v>8</v>
      </c>
    </row>
    <row r="349" spans="1:20" x14ac:dyDescent="0.25">
      <c r="A349" s="74">
        <f>P349+P350+P351</f>
        <v>24206.963</v>
      </c>
      <c r="B349" s="74" t="str">
        <f>'Весы 07.11.2023'!I59</f>
        <v>24160</v>
      </c>
      <c r="C349" s="70" t="str">
        <f>'Весы 07.11.2023'!K59</f>
        <v>-47</v>
      </c>
      <c r="D349" s="74">
        <f>B349-C349</f>
        <v>24207</v>
      </c>
      <c r="E349" s="74">
        <f>A349-D349</f>
        <v>-3.7000000000261934E-2</v>
      </c>
      <c r="F349" t="s">
        <v>60</v>
      </c>
      <c r="G349" s="1">
        <v>45237</v>
      </c>
      <c r="H349" t="s">
        <v>112</v>
      </c>
      <c r="I349" t="s">
        <v>106</v>
      </c>
      <c r="J349" t="s">
        <v>16</v>
      </c>
      <c r="K349" t="s">
        <v>17</v>
      </c>
      <c r="L349" t="s">
        <v>3</v>
      </c>
      <c r="M349" t="s">
        <v>4</v>
      </c>
      <c r="N349" s="2">
        <v>8135</v>
      </c>
      <c r="O349" s="2">
        <v>8135</v>
      </c>
      <c r="P349" s="2">
        <v>6048.3729999999996</v>
      </c>
      <c r="Q349" t="s">
        <v>39</v>
      </c>
      <c r="R349" t="s">
        <v>23</v>
      </c>
      <c r="S349" t="s">
        <v>61</v>
      </c>
      <c r="T349" t="s">
        <v>8</v>
      </c>
    </row>
    <row r="350" spans="1:20" x14ac:dyDescent="0.25">
      <c r="A350" s="74"/>
      <c r="B350" s="74"/>
      <c r="C350" s="71"/>
      <c r="D350" s="74"/>
      <c r="E350" s="74"/>
      <c r="F350" t="s">
        <v>60</v>
      </c>
      <c r="G350" s="1">
        <v>45237</v>
      </c>
      <c r="H350" t="s">
        <v>112</v>
      </c>
      <c r="I350" t="s">
        <v>103</v>
      </c>
      <c r="J350" t="s">
        <v>11</v>
      </c>
      <c r="K350" t="s">
        <v>12</v>
      </c>
      <c r="L350" t="s">
        <v>3</v>
      </c>
      <c r="M350" t="s">
        <v>4</v>
      </c>
      <c r="N350" s="2">
        <v>12625</v>
      </c>
      <c r="O350" s="2">
        <v>12640.326999999999</v>
      </c>
      <c r="P350" s="2">
        <v>9411.9380000000001</v>
      </c>
      <c r="Q350" t="s">
        <v>49</v>
      </c>
      <c r="R350" t="s">
        <v>23</v>
      </c>
      <c r="S350" t="s">
        <v>61</v>
      </c>
      <c r="T350" t="s">
        <v>8</v>
      </c>
    </row>
    <row r="351" spans="1:20" x14ac:dyDescent="0.25">
      <c r="A351" s="74"/>
      <c r="B351" s="74"/>
      <c r="C351" s="71"/>
      <c r="D351" s="74"/>
      <c r="E351" s="74"/>
      <c r="F351" t="s">
        <v>60</v>
      </c>
      <c r="G351" s="1">
        <v>45237</v>
      </c>
      <c r="H351" t="s">
        <v>112</v>
      </c>
      <c r="I351" t="s">
        <v>95</v>
      </c>
      <c r="J351" t="s">
        <v>20</v>
      </c>
      <c r="K351" t="s">
        <v>21</v>
      </c>
      <c r="L351" t="s">
        <v>3</v>
      </c>
      <c r="M351" t="s">
        <v>4</v>
      </c>
      <c r="N351" s="2">
        <v>10450</v>
      </c>
      <c r="O351" s="2">
        <v>10432.308000000001</v>
      </c>
      <c r="P351" s="2">
        <v>8746.652</v>
      </c>
      <c r="Q351" t="s">
        <v>33</v>
      </c>
      <c r="R351" t="s">
        <v>23</v>
      </c>
      <c r="S351" t="s">
        <v>61</v>
      </c>
      <c r="T351" t="s">
        <v>8</v>
      </c>
    </row>
    <row r="352" spans="1:20" x14ac:dyDescent="0.25">
      <c r="A352" s="74">
        <f>P352+P353+P354</f>
        <v>26514.595000000001</v>
      </c>
      <c r="B352" s="74" t="str">
        <f>'Весы 07.11.2023'!I61</f>
        <v>26470</v>
      </c>
      <c r="C352" s="70" t="str">
        <f>'Весы 07.11.2023'!K61</f>
        <v>-45</v>
      </c>
      <c r="D352" s="74">
        <f>B352-C352</f>
        <v>26515</v>
      </c>
      <c r="E352" s="74">
        <f>A352-D352</f>
        <v>-0.40499999999883585</v>
      </c>
      <c r="F352" t="s">
        <v>146</v>
      </c>
      <c r="G352" s="1">
        <v>45237</v>
      </c>
      <c r="H352" t="s">
        <v>177</v>
      </c>
      <c r="I352" t="s">
        <v>56</v>
      </c>
      <c r="J352" t="s">
        <v>1</v>
      </c>
      <c r="K352" t="s">
        <v>2</v>
      </c>
      <c r="L352" t="s">
        <v>3</v>
      </c>
      <c r="M352" t="s">
        <v>4</v>
      </c>
      <c r="N352" s="2">
        <v>12215</v>
      </c>
      <c r="O352" s="2">
        <v>12215</v>
      </c>
      <c r="P352" s="2">
        <v>10193.418</v>
      </c>
      <c r="Q352" t="s">
        <v>39</v>
      </c>
      <c r="R352" t="s">
        <v>23</v>
      </c>
      <c r="S352" t="s">
        <v>147</v>
      </c>
      <c r="T352" t="s">
        <v>8</v>
      </c>
    </row>
    <row r="353" spans="1:20" x14ac:dyDescent="0.25">
      <c r="A353" s="74"/>
      <c r="B353" s="74"/>
      <c r="C353" s="71"/>
      <c r="D353" s="74"/>
      <c r="E353" s="74"/>
      <c r="F353" t="s">
        <v>146</v>
      </c>
      <c r="G353" s="1">
        <v>45237</v>
      </c>
      <c r="H353" t="s">
        <v>177</v>
      </c>
      <c r="I353" t="s">
        <v>103</v>
      </c>
      <c r="J353" t="s">
        <v>11</v>
      </c>
      <c r="K353" t="s">
        <v>12</v>
      </c>
      <c r="L353" t="s">
        <v>3</v>
      </c>
      <c r="M353" t="s">
        <v>4</v>
      </c>
      <c r="N353" s="2">
        <v>9850</v>
      </c>
      <c r="O353" s="2">
        <v>9826.1929999999993</v>
      </c>
      <c r="P353" s="2">
        <v>7343.1769999999997</v>
      </c>
      <c r="Q353" t="s">
        <v>33</v>
      </c>
      <c r="R353" t="s">
        <v>23</v>
      </c>
      <c r="S353" t="s">
        <v>147</v>
      </c>
      <c r="T353" t="s">
        <v>8</v>
      </c>
    </row>
    <row r="354" spans="1:20" x14ac:dyDescent="0.25">
      <c r="A354" s="74"/>
      <c r="B354" s="74"/>
      <c r="C354" s="71"/>
      <c r="D354" s="74"/>
      <c r="E354" s="74"/>
      <c r="F354" t="s">
        <v>146</v>
      </c>
      <c r="G354" s="1">
        <v>45237</v>
      </c>
      <c r="H354" t="s">
        <v>177</v>
      </c>
      <c r="I354" t="s">
        <v>52</v>
      </c>
      <c r="J354" t="s">
        <v>20</v>
      </c>
      <c r="K354" t="s">
        <v>21</v>
      </c>
      <c r="L354" t="s">
        <v>3</v>
      </c>
      <c r="M354" t="s">
        <v>4</v>
      </c>
      <c r="N354" s="2">
        <v>10720</v>
      </c>
      <c r="O354" s="2">
        <v>10720</v>
      </c>
      <c r="P354" s="2">
        <v>8978</v>
      </c>
      <c r="Q354" t="s">
        <v>39</v>
      </c>
      <c r="R354" t="s">
        <v>23</v>
      </c>
      <c r="S354" t="s">
        <v>147</v>
      </c>
      <c r="T354" t="s">
        <v>8</v>
      </c>
    </row>
    <row r="355" spans="1:20" x14ac:dyDescent="0.25">
      <c r="A355" s="74">
        <f>P355+P356+P357</f>
        <v>25070.493999999999</v>
      </c>
      <c r="B355" s="74" t="str">
        <f>'Весы 07.11.2023'!I56</f>
        <v>25020</v>
      </c>
      <c r="C355" s="70" t="str">
        <f>'Весы 07.11.2023'!K56</f>
        <v>-51</v>
      </c>
      <c r="D355" s="74">
        <f>B355-C355</f>
        <v>25071</v>
      </c>
      <c r="E355" s="74">
        <f>A355-D355</f>
        <v>-0.50600000000122236</v>
      </c>
      <c r="F355" t="s">
        <v>104</v>
      </c>
      <c r="G355" s="1">
        <v>45237</v>
      </c>
      <c r="H355" t="s">
        <v>211</v>
      </c>
      <c r="I355" t="s">
        <v>25</v>
      </c>
      <c r="J355" t="s">
        <v>16</v>
      </c>
      <c r="K355" t="s">
        <v>17</v>
      </c>
      <c r="L355" t="s">
        <v>3</v>
      </c>
      <c r="M355" t="s">
        <v>4</v>
      </c>
      <c r="N355" s="2">
        <v>5000</v>
      </c>
      <c r="O355" s="2">
        <v>5006.08</v>
      </c>
      <c r="P355" s="2">
        <v>3722.498</v>
      </c>
      <c r="Q355" t="s">
        <v>49</v>
      </c>
      <c r="R355" t="s">
        <v>23</v>
      </c>
      <c r="S355" t="s">
        <v>105</v>
      </c>
      <c r="T355" t="s">
        <v>8</v>
      </c>
    </row>
    <row r="356" spans="1:20" x14ac:dyDescent="0.25">
      <c r="A356" s="74"/>
      <c r="B356" s="74"/>
      <c r="C356" s="71"/>
      <c r="D356" s="74"/>
      <c r="E356" s="74"/>
      <c r="F356" t="s">
        <v>104</v>
      </c>
      <c r="G356" s="1">
        <v>45237</v>
      </c>
      <c r="H356" t="s">
        <v>211</v>
      </c>
      <c r="I356" t="s">
        <v>114</v>
      </c>
      <c r="J356" t="s">
        <v>11</v>
      </c>
      <c r="K356" t="s">
        <v>12</v>
      </c>
      <c r="L356" t="s">
        <v>3</v>
      </c>
      <c r="M356" t="s">
        <v>4</v>
      </c>
      <c r="N356" s="2">
        <v>13000</v>
      </c>
      <c r="O356" s="2">
        <v>13047.632</v>
      </c>
      <c r="P356" s="2">
        <v>9672.0010000000002</v>
      </c>
      <c r="Q356" t="s">
        <v>51</v>
      </c>
      <c r="R356" t="s">
        <v>23</v>
      </c>
      <c r="S356" t="s">
        <v>105</v>
      </c>
      <c r="T356" t="s">
        <v>8</v>
      </c>
    </row>
    <row r="357" spans="1:20" x14ac:dyDescent="0.25">
      <c r="A357" s="74"/>
      <c r="B357" s="74"/>
      <c r="C357" s="71"/>
      <c r="D357" s="74"/>
      <c r="E357" s="74"/>
      <c r="F357" t="s">
        <v>104</v>
      </c>
      <c r="G357" s="1">
        <v>45237</v>
      </c>
      <c r="H357" t="s">
        <v>211</v>
      </c>
      <c r="I357" t="s">
        <v>62</v>
      </c>
      <c r="J357" t="s">
        <v>1</v>
      </c>
      <c r="K357" t="s">
        <v>2</v>
      </c>
      <c r="L357" t="s">
        <v>3</v>
      </c>
      <c r="M357" t="s">
        <v>4</v>
      </c>
      <c r="N357" s="2">
        <v>14000</v>
      </c>
      <c r="O357" s="2">
        <v>14011.984</v>
      </c>
      <c r="P357" s="2">
        <v>11675.995000000001</v>
      </c>
      <c r="Q357" t="s">
        <v>49</v>
      </c>
      <c r="R357" t="s">
        <v>23</v>
      </c>
      <c r="S357" t="s">
        <v>105</v>
      </c>
      <c r="T357" t="s">
        <v>8</v>
      </c>
    </row>
    <row r="358" spans="1:20" x14ac:dyDescent="0.25">
      <c r="A358" s="74">
        <f>P358+P359+P360</f>
        <v>25882.557000000001</v>
      </c>
      <c r="B358" s="74" t="str">
        <f>'Весы 07.11.2023'!I57</f>
        <v>25840</v>
      </c>
      <c r="C358" s="70" t="str">
        <f>'Весы 07.11.2023'!K57</f>
        <v>-43</v>
      </c>
      <c r="D358" s="74">
        <f>B358-C358</f>
        <v>25883</v>
      </c>
      <c r="E358" s="74">
        <f>A358-D358</f>
        <v>-0.44299999999930151</v>
      </c>
      <c r="F358" t="s">
        <v>101</v>
      </c>
      <c r="G358" s="1">
        <v>45237</v>
      </c>
      <c r="H358" t="s">
        <v>192</v>
      </c>
      <c r="I358" t="s">
        <v>103</v>
      </c>
      <c r="J358" t="s">
        <v>11</v>
      </c>
      <c r="K358" t="s">
        <v>12</v>
      </c>
      <c r="L358" t="s">
        <v>3</v>
      </c>
      <c r="M358" t="s">
        <v>4</v>
      </c>
      <c r="N358" s="2">
        <v>12620</v>
      </c>
      <c r="O358" s="2">
        <v>12650.691999999999</v>
      </c>
      <c r="P358" s="2">
        <v>9408.2139999999999</v>
      </c>
      <c r="Q358" t="s">
        <v>55</v>
      </c>
      <c r="R358" t="s">
        <v>6</v>
      </c>
      <c r="S358" t="s">
        <v>132</v>
      </c>
      <c r="T358" t="s">
        <v>8</v>
      </c>
    </row>
    <row r="359" spans="1:20" x14ac:dyDescent="0.25">
      <c r="A359" s="74"/>
      <c r="B359" s="74"/>
      <c r="C359" s="71"/>
      <c r="D359" s="74"/>
      <c r="E359" s="74"/>
      <c r="F359" t="s">
        <v>101</v>
      </c>
      <c r="G359" s="1">
        <v>45237</v>
      </c>
      <c r="H359" t="s">
        <v>192</v>
      </c>
      <c r="I359" t="s">
        <v>129</v>
      </c>
      <c r="J359" t="s">
        <v>20</v>
      </c>
      <c r="K359" t="s">
        <v>21</v>
      </c>
      <c r="L359" t="s">
        <v>3</v>
      </c>
      <c r="M359" t="s">
        <v>4</v>
      </c>
      <c r="N359" s="2">
        <v>2805</v>
      </c>
      <c r="O359" s="2">
        <v>2805</v>
      </c>
      <c r="P359" s="2">
        <v>2346.3829999999998</v>
      </c>
      <c r="Q359" t="s">
        <v>39</v>
      </c>
      <c r="R359" t="s">
        <v>6</v>
      </c>
      <c r="S359" t="s">
        <v>132</v>
      </c>
      <c r="T359" t="s">
        <v>8</v>
      </c>
    </row>
    <row r="360" spans="1:20" x14ac:dyDescent="0.25">
      <c r="A360" s="74"/>
      <c r="B360" s="74"/>
      <c r="C360" s="71"/>
      <c r="D360" s="74"/>
      <c r="E360" s="74"/>
      <c r="F360" t="s">
        <v>101</v>
      </c>
      <c r="G360" s="1">
        <v>45237</v>
      </c>
      <c r="H360" t="s">
        <v>192</v>
      </c>
      <c r="I360" t="s">
        <v>62</v>
      </c>
      <c r="J360" t="s">
        <v>1</v>
      </c>
      <c r="K360" t="s">
        <v>2</v>
      </c>
      <c r="L360" t="s">
        <v>3</v>
      </c>
      <c r="M360" t="s">
        <v>4</v>
      </c>
      <c r="N360" s="2">
        <v>16940</v>
      </c>
      <c r="O360" s="2">
        <v>16940</v>
      </c>
      <c r="P360" s="2">
        <v>14127.96</v>
      </c>
      <c r="Q360" t="s">
        <v>39</v>
      </c>
      <c r="R360" t="s">
        <v>6</v>
      </c>
      <c r="S360" t="s">
        <v>132</v>
      </c>
      <c r="T360" t="s">
        <v>8</v>
      </c>
    </row>
    <row r="361" spans="1:20" x14ac:dyDescent="0.25">
      <c r="A361" s="74">
        <f>P361+P362</f>
        <v>25517.573</v>
      </c>
      <c r="B361" s="74" t="str">
        <f>'Весы 07.11.2023'!I54</f>
        <v>25470</v>
      </c>
      <c r="C361" s="70" t="str">
        <f>'Весы 07.11.2023'!K54</f>
        <v>-48</v>
      </c>
      <c r="D361" s="74">
        <f t="shared" ref="D361" si="131">B361-C361</f>
        <v>25518</v>
      </c>
      <c r="E361" s="74">
        <f t="shared" ref="E361" si="132">A361-D361</f>
        <v>-0.42699999999967986</v>
      </c>
      <c r="F361" t="s">
        <v>65</v>
      </c>
      <c r="G361" s="1">
        <v>45237</v>
      </c>
      <c r="H361" t="s">
        <v>229</v>
      </c>
      <c r="I361" t="s">
        <v>72</v>
      </c>
      <c r="J361" t="s">
        <v>11</v>
      </c>
      <c r="K361" t="s">
        <v>12</v>
      </c>
      <c r="L361" t="s">
        <v>3</v>
      </c>
      <c r="M361" t="s">
        <v>4</v>
      </c>
      <c r="N361" s="2">
        <v>13685</v>
      </c>
      <c r="O361" s="2">
        <v>13718.308999999999</v>
      </c>
      <c r="P361" s="2">
        <v>10195.325000000001</v>
      </c>
      <c r="Q361" t="s">
        <v>55</v>
      </c>
      <c r="R361" t="s">
        <v>6</v>
      </c>
      <c r="S361" t="s">
        <v>66</v>
      </c>
      <c r="T361" t="s">
        <v>8</v>
      </c>
    </row>
    <row r="362" spans="1:20" x14ac:dyDescent="0.25">
      <c r="A362" s="74"/>
      <c r="B362" s="74"/>
      <c r="C362" s="71"/>
      <c r="D362" s="74"/>
      <c r="E362" s="74"/>
      <c r="F362" t="s">
        <v>65</v>
      </c>
      <c r="G362" s="1">
        <v>45237</v>
      </c>
      <c r="H362" t="s">
        <v>229</v>
      </c>
      <c r="I362" t="s">
        <v>35</v>
      </c>
      <c r="J362" t="s">
        <v>1</v>
      </c>
      <c r="K362" t="s">
        <v>2</v>
      </c>
      <c r="L362" t="s">
        <v>3</v>
      </c>
      <c r="M362" t="s">
        <v>4</v>
      </c>
      <c r="N362" s="2">
        <v>18350</v>
      </c>
      <c r="O362" s="2">
        <v>18381.397000000001</v>
      </c>
      <c r="P362" s="2">
        <v>15322.248</v>
      </c>
      <c r="Q362" t="s">
        <v>55</v>
      </c>
      <c r="R362" t="s">
        <v>6</v>
      </c>
      <c r="S362" t="s">
        <v>66</v>
      </c>
      <c r="T362" t="s">
        <v>8</v>
      </c>
    </row>
    <row r="363" spans="1:20" x14ac:dyDescent="0.25">
      <c r="A363" s="74">
        <f>P363+P364+P365</f>
        <v>25779.224000000002</v>
      </c>
      <c r="B363" s="74" t="str">
        <f>'Весы 07.11.2023'!I51</f>
        <v>25730</v>
      </c>
      <c r="C363" s="70" t="str">
        <f>'Весы 07.11.2023'!K51</f>
        <v>-49</v>
      </c>
      <c r="D363" s="74">
        <f>B363-C363</f>
        <v>25779</v>
      </c>
      <c r="E363" s="74">
        <f>A363-D363</f>
        <v>0.22400000000197906</v>
      </c>
      <c r="F363" t="s">
        <v>40</v>
      </c>
      <c r="G363" s="1">
        <v>45237</v>
      </c>
      <c r="H363" t="s">
        <v>179</v>
      </c>
      <c r="I363" t="s">
        <v>35</v>
      </c>
      <c r="J363" t="s">
        <v>1</v>
      </c>
      <c r="K363" t="s">
        <v>2</v>
      </c>
      <c r="L363" t="s">
        <v>3</v>
      </c>
      <c r="M363" t="s">
        <v>4</v>
      </c>
      <c r="N363" s="2">
        <v>12640</v>
      </c>
      <c r="O363" s="2">
        <v>12672.485000000001</v>
      </c>
      <c r="P363" s="2">
        <v>10554.395</v>
      </c>
      <c r="Q363" t="s">
        <v>51</v>
      </c>
      <c r="R363" t="s">
        <v>6</v>
      </c>
      <c r="S363" t="s">
        <v>41</v>
      </c>
      <c r="T363" t="s">
        <v>8</v>
      </c>
    </row>
    <row r="364" spans="1:20" x14ac:dyDescent="0.25">
      <c r="A364" s="74"/>
      <c r="B364" s="74"/>
      <c r="C364" s="71"/>
      <c r="D364" s="74"/>
      <c r="E364" s="74"/>
      <c r="F364" t="s">
        <v>40</v>
      </c>
      <c r="G364" s="1">
        <v>45237</v>
      </c>
      <c r="H364" t="s">
        <v>228</v>
      </c>
      <c r="I364" t="s">
        <v>54</v>
      </c>
      <c r="J364" t="s">
        <v>11</v>
      </c>
      <c r="K364" t="s">
        <v>12</v>
      </c>
      <c r="L364" t="s">
        <v>3</v>
      </c>
      <c r="M364" t="s">
        <v>4</v>
      </c>
      <c r="N364" s="2">
        <v>6290</v>
      </c>
      <c r="O364" s="2">
        <v>6328.3249999999998</v>
      </c>
      <c r="P364" s="2">
        <v>4695.4840000000004</v>
      </c>
      <c r="Q364" t="s">
        <v>75</v>
      </c>
      <c r="R364" t="s">
        <v>6</v>
      </c>
      <c r="S364" t="s">
        <v>41</v>
      </c>
      <c r="T364" t="s">
        <v>8</v>
      </c>
    </row>
    <row r="365" spans="1:20" x14ac:dyDescent="0.25">
      <c r="A365" s="74"/>
      <c r="B365" s="74"/>
      <c r="C365" s="71"/>
      <c r="D365" s="74"/>
      <c r="E365" s="74"/>
      <c r="F365" t="s">
        <v>40</v>
      </c>
      <c r="G365" s="1">
        <v>45237</v>
      </c>
      <c r="H365" t="s">
        <v>228</v>
      </c>
      <c r="I365" t="s">
        <v>35</v>
      </c>
      <c r="J365" t="s">
        <v>1</v>
      </c>
      <c r="K365" t="s">
        <v>2</v>
      </c>
      <c r="L365" t="s">
        <v>3</v>
      </c>
      <c r="M365" t="s">
        <v>4</v>
      </c>
      <c r="N365" s="2">
        <v>12610</v>
      </c>
      <c r="O365" s="2">
        <v>12642.407999999999</v>
      </c>
      <c r="P365" s="2">
        <v>10529.344999999999</v>
      </c>
      <c r="Q365" t="s">
        <v>51</v>
      </c>
      <c r="R365" t="s">
        <v>6</v>
      </c>
      <c r="S365" t="s">
        <v>41</v>
      </c>
      <c r="T365" t="s">
        <v>8</v>
      </c>
    </row>
    <row r="366" spans="1:20" x14ac:dyDescent="0.25">
      <c r="A366" s="74">
        <f>P366+P367+P368</f>
        <v>25503.752</v>
      </c>
      <c r="B366" s="74" t="str">
        <f>'Весы 07.11.2023'!I55</f>
        <v>25460</v>
      </c>
      <c r="C366" s="74" t="str">
        <f>'Весы 07.11.2023'!K55</f>
        <v>-44</v>
      </c>
      <c r="D366" s="74">
        <f>B366-C366</f>
        <v>25504</v>
      </c>
      <c r="E366" s="74">
        <f>A366-D366</f>
        <v>-0.24799999999959255</v>
      </c>
      <c r="F366" t="s">
        <v>44</v>
      </c>
      <c r="G366" s="1">
        <v>45237</v>
      </c>
      <c r="H366" t="s">
        <v>210</v>
      </c>
      <c r="I366" t="s">
        <v>62</v>
      </c>
      <c r="J366" t="s">
        <v>1</v>
      </c>
      <c r="K366" t="s">
        <v>2</v>
      </c>
      <c r="L366" t="s">
        <v>3</v>
      </c>
      <c r="M366" t="s">
        <v>4</v>
      </c>
      <c r="N366" s="2">
        <v>16700</v>
      </c>
      <c r="O366" s="2">
        <v>16700</v>
      </c>
      <c r="P366" s="2">
        <v>13927.8</v>
      </c>
      <c r="Q366" t="s">
        <v>39</v>
      </c>
      <c r="R366" t="s">
        <v>6</v>
      </c>
      <c r="S366" t="s">
        <v>45</v>
      </c>
      <c r="T366" t="s">
        <v>8</v>
      </c>
    </row>
    <row r="367" spans="1:20" x14ac:dyDescent="0.25">
      <c r="A367" s="74"/>
      <c r="B367" s="74"/>
      <c r="C367" s="74"/>
      <c r="D367" s="74"/>
      <c r="E367" s="74"/>
      <c r="F367" t="s">
        <v>44</v>
      </c>
      <c r="G367" s="1">
        <v>45237</v>
      </c>
      <c r="H367" t="s">
        <v>248</v>
      </c>
      <c r="I367" t="s">
        <v>103</v>
      </c>
      <c r="J367" t="s">
        <v>11</v>
      </c>
      <c r="K367" t="s">
        <v>12</v>
      </c>
      <c r="L367" t="s">
        <v>3</v>
      </c>
      <c r="M367" t="s">
        <v>4</v>
      </c>
      <c r="N367" s="2">
        <v>4900</v>
      </c>
      <c r="O367" s="2">
        <v>4911.9170000000004</v>
      </c>
      <c r="P367" s="2">
        <v>3652.9520000000002</v>
      </c>
      <c r="Q367" t="s">
        <v>55</v>
      </c>
      <c r="R367" t="s">
        <v>6</v>
      </c>
      <c r="S367" t="s">
        <v>45</v>
      </c>
      <c r="T367" t="s">
        <v>8</v>
      </c>
    </row>
    <row r="368" spans="1:20" x14ac:dyDescent="0.25">
      <c r="A368" s="74"/>
      <c r="B368" s="74"/>
      <c r="C368" s="74"/>
      <c r="D368" s="74"/>
      <c r="E368" s="74"/>
      <c r="F368" t="s">
        <v>44</v>
      </c>
      <c r="G368" s="1">
        <v>45237</v>
      </c>
      <c r="H368" t="s">
        <v>248</v>
      </c>
      <c r="I368" t="s">
        <v>62</v>
      </c>
      <c r="J368" t="s">
        <v>1</v>
      </c>
      <c r="K368" t="s">
        <v>2</v>
      </c>
      <c r="L368" t="s">
        <v>3</v>
      </c>
      <c r="M368" t="s">
        <v>4</v>
      </c>
      <c r="N368" s="2">
        <v>9500</v>
      </c>
      <c r="O368" s="2">
        <v>9500</v>
      </c>
      <c r="P368" s="2">
        <v>7923</v>
      </c>
      <c r="Q368" t="s">
        <v>39</v>
      </c>
      <c r="R368" t="s">
        <v>6</v>
      </c>
      <c r="S368" t="s">
        <v>45</v>
      </c>
      <c r="T368" t="s">
        <v>8</v>
      </c>
    </row>
    <row r="369" spans="1:20" x14ac:dyDescent="0.25">
      <c r="A369" s="74">
        <f t="shared" ref="A369" si="133">P369+P370</f>
        <v>24999.757000000001</v>
      </c>
      <c r="B369" s="74" t="str">
        <f>'Весы 07.11.2023'!I53</f>
        <v>24960</v>
      </c>
      <c r="C369" s="70" t="str">
        <f>'Весы 07.11.2023'!K53</f>
        <v>-40</v>
      </c>
      <c r="D369" s="74">
        <f t="shared" ref="D369" si="134">B369-C369</f>
        <v>25000</v>
      </c>
      <c r="E369" s="74">
        <f t="shared" ref="E369" si="135">A369-D369</f>
        <v>-0.24299999999857391</v>
      </c>
      <c r="F369" t="s">
        <v>18</v>
      </c>
      <c r="G369" s="1">
        <v>45237</v>
      </c>
      <c r="H369" t="s">
        <v>241</v>
      </c>
      <c r="I369" t="s">
        <v>103</v>
      </c>
      <c r="J369" t="s">
        <v>11</v>
      </c>
      <c r="K369" t="s">
        <v>12</v>
      </c>
      <c r="L369" t="s">
        <v>3</v>
      </c>
      <c r="M369" t="s">
        <v>4</v>
      </c>
      <c r="N369" s="2">
        <v>7665</v>
      </c>
      <c r="O369" s="2">
        <v>7702.3819999999996</v>
      </c>
      <c r="P369" s="2">
        <v>5714.2550000000001</v>
      </c>
      <c r="Q369" t="s">
        <v>73</v>
      </c>
      <c r="R369" t="s">
        <v>6</v>
      </c>
      <c r="S369" t="s">
        <v>19</v>
      </c>
      <c r="T369" t="s">
        <v>8</v>
      </c>
    </row>
    <row r="370" spans="1:20" x14ac:dyDescent="0.25">
      <c r="A370" s="74"/>
      <c r="B370" s="74"/>
      <c r="C370" s="71"/>
      <c r="D370" s="74"/>
      <c r="E370" s="74"/>
      <c r="F370" t="s">
        <v>18</v>
      </c>
      <c r="G370" s="1">
        <v>45237</v>
      </c>
      <c r="H370" t="s">
        <v>241</v>
      </c>
      <c r="I370" t="s">
        <v>129</v>
      </c>
      <c r="J370" t="s">
        <v>1</v>
      </c>
      <c r="K370" t="s">
        <v>2</v>
      </c>
      <c r="L370" t="s">
        <v>3</v>
      </c>
      <c r="M370" t="s">
        <v>4</v>
      </c>
      <c r="N370" s="2">
        <v>23055</v>
      </c>
      <c r="O370" s="2">
        <v>23074.62</v>
      </c>
      <c r="P370" s="2">
        <v>19285.502</v>
      </c>
      <c r="Q370" t="s">
        <v>49</v>
      </c>
      <c r="R370" t="s">
        <v>6</v>
      </c>
      <c r="S370" t="s">
        <v>19</v>
      </c>
      <c r="T370" t="s">
        <v>8</v>
      </c>
    </row>
    <row r="371" spans="1:20" x14ac:dyDescent="0.25">
      <c r="A371" s="74">
        <f>P371+P372+P373</f>
        <v>19450.275999999998</v>
      </c>
      <c r="B371" s="74" t="str">
        <f>'Весы 07.11.2023'!I46</f>
        <v>19440</v>
      </c>
      <c r="C371" s="70" t="str">
        <f>'Весы 07.11.2023'!K46</f>
        <v>-10</v>
      </c>
      <c r="D371" s="74">
        <f>B371-C371</f>
        <v>19450</v>
      </c>
      <c r="E371" s="74">
        <f>A371-D371</f>
        <v>0.27599999999802094</v>
      </c>
      <c r="F371" t="s">
        <v>22</v>
      </c>
      <c r="G371" s="1">
        <v>45237</v>
      </c>
      <c r="H371" t="s">
        <v>257</v>
      </c>
      <c r="I371" t="s">
        <v>128</v>
      </c>
      <c r="J371" t="s">
        <v>11</v>
      </c>
      <c r="K371" t="s">
        <v>12</v>
      </c>
      <c r="L371" t="s">
        <v>3</v>
      </c>
      <c r="M371" t="s">
        <v>4</v>
      </c>
      <c r="N371" s="2">
        <v>8005</v>
      </c>
      <c r="O371" s="2">
        <v>8063.5010000000002</v>
      </c>
      <c r="P371" s="2">
        <v>5983.7389999999996</v>
      </c>
      <c r="Q371" t="s">
        <v>138</v>
      </c>
      <c r="R371" t="s">
        <v>23</v>
      </c>
      <c r="S371" t="s">
        <v>24</v>
      </c>
      <c r="T371" t="s">
        <v>8</v>
      </c>
    </row>
    <row r="372" spans="1:20" x14ac:dyDescent="0.25">
      <c r="A372" s="74"/>
      <c r="B372" s="74"/>
      <c r="C372" s="71"/>
      <c r="D372" s="74"/>
      <c r="E372" s="74"/>
      <c r="F372" t="s">
        <v>22</v>
      </c>
      <c r="G372" s="1">
        <v>45237</v>
      </c>
      <c r="H372" t="s">
        <v>257</v>
      </c>
      <c r="I372" t="s">
        <v>52</v>
      </c>
      <c r="J372" t="s">
        <v>1</v>
      </c>
      <c r="K372" t="s">
        <v>2</v>
      </c>
      <c r="L372" t="s">
        <v>3</v>
      </c>
      <c r="M372" t="s">
        <v>4</v>
      </c>
      <c r="N372" s="2">
        <v>10015</v>
      </c>
      <c r="O372" s="2">
        <v>10057.773999999999</v>
      </c>
      <c r="P372" s="2">
        <v>8387.5640000000003</v>
      </c>
      <c r="Q372" t="s">
        <v>75</v>
      </c>
      <c r="R372" t="s">
        <v>23</v>
      </c>
      <c r="S372" t="s">
        <v>24</v>
      </c>
      <c r="T372" t="s">
        <v>8</v>
      </c>
    </row>
    <row r="373" spans="1:20" x14ac:dyDescent="0.25">
      <c r="A373" s="74"/>
      <c r="B373" s="74"/>
      <c r="C373" s="71"/>
      <c r="D373" s="74"/>
      <c r="E373" s="74"/>
      <c r="F373" t="s">
        <v>22</v>
      </c>
      <c r="G373" s="1">
        <v>45237</v>
      </c>
      <c r="H373" t="s">
        <v>257</v>
      </c>
      <c r="I373" t="s">
        <v>121</v>
      </c>
      <c r="J373" t="s">
        <v>124</v>
      </c>
      <c r="K373" t="s">
        <v>125</v>
      </c>
      <c r="L373" t="s">
        <v>3</v>
      </c>
      <c r="M373" t="s">
        <v>4</v>
      </c>
      <c r="N373" s="2">
        <v>6050</v>
      </c>
      <c r="O373" s="2">
        <v>6075.7129999999997</v>
      </c>
      <c r="P373" s="2">
        <v>5078.973</v>
      </c>
      <c r="Q373" t="s">
        <v>75</v>
      </c>
      <c r="R373" t="s">
        <v>23</v>
      </c>
      <c r="S373" t="s">
        <v>24</v>
      </c>
      <c r="T373" t="s">
        <v>8</v>
      </c>
    </row>
    <row r="374" spans="1:20" x14ac:dyDescent="0.25">
      <c r="A374" s="74">
        <f>P374+P375+P376</f>
        <v>27115.991999999998</v>
      </c>
      <c r="B374" s="74" t="str">
        <f>'Весы 07.11.2023'!I52</f>
        <v>27070</v>
      </c>
      <c r="C374" s="70" t="str">
        <f>'Весы 07.11.2023'!K52</f>
        <v>-46</v>
      </c>
      <c r="D374" s="74">
        <f>B374-C374</f>
        <v>27116</v>
      </c>
      <c r="E374" s="74">
        <f>A374-D374</f>
        <v>-8.0000000016298145E-3</v>
      </c>
      <c r="F374" t="s">
        <v>32</v>
      </c>
      <c r="G374" s="1">
        <v>45237</v>
      </c>
      <c r="H374" t="s">
        <v>201</v>
      </c>
      <c r="I374" t="s">
        <v>103</v>
      </c>
      <c r="J374" t="s">
        <v>11</v>
      </c>
      <c r="K374" t="s">
        <v>12</v>
      </c>
      <c r="L374" t="s">
        <v>3</v>
      </c>
      <c r="M374" t="s">
        <v>4</v>
      </c>
      <c r="N374" s="2">
        <v>10000</v>
      </c>
      <c r="O374" s="2">
        <v>10048.77</v>
      </c>
      <c r="P374" s="2">
        <v>7454.9970000000003</v>
      </c>
      <c r="Q374" t="s">
        <v>73</v>
      </c>
      <c r="R374" t="s">
        <v>23</v>
      </c>
      <c r="S374" t="s">
        <v>34</v>
      </c>
      <c r="T374" t="s">
        <v>8</v>
      </c>
    </row>
    <row r="375" spans="1:20" x14ac:dyDescent="0.25">
      <c r="A375" s="74"/>
      <c r="B375" s="74"/>
      <c r="C375" s="71"/>
      <c r="D375" s="74"/>
      <c r="E375" s="74"/>
      <c r="F375" t="s">
        <v>32</v>
      </c>
      <c r="G375" s="1">
        <v>45237</v>
      </c>
      <c r="H375" t="s">
        <v>201</v>
      </c>
      <c r="I375" t="s">
        <v>95</v>
      </c>
      <c r="J375" t="s">
        <v>20</v>
      </c>
      <c r="K375" t="s">
        <v>21</v>
      </c>
      <c r="L375" t="s">
        <v>3</v>
      </c>
      <c r="M375" t="s">
        <v>4</v>
      </c>
      <c r="N375" s="2">
        <v>6500</v>
      </c>
      <c r="O375" s="2">
        <v>6505.5249999999996</v>
      </c>
      <c r="P375" s="2">
        <v>5440.4989999999998</v>
      </c>
      <c r="Q375" t="s">
        <v>49</v>
      </c>
      <c r="R375" t="s">
        <v>23</v>
      </c>
      <c r="S375" t="s">
        <v>34</v>
      </c>
      <c r="T375" t="s">
        <v>8</v>
      </c>
    </row>
    <row r="376" spans="1:20" x14ac:dyDescent="0.25">
      <c r="A376" s="74"/>
      <c r="B376" s="74"/>
      <c r="C376" s="71"/>
      <c r="D376" s="74"/>
      <c r="E376" s="74"/>
      <c r="F376" t="s">
        <v>32</v>
      </c>
      <c r="G376" s="1">
        <v>45237</v>
      </c>
      <c r="H376" t="s">
        <v>201</v>
      </c>
      <c r="I376" t="s">
        <v>129</v>
      </c>
      <c r="J376" t="s">
        <v>1</v>
      </c>
      <c r="K376" t="s">
        <v>2</v>
      </c>
      <c r="L376" t="s">
        <v>3</v>
      </c>
      <c r="M376" t="s">
        <v>4</v>
      </c>
      <c r="N376" s="2">
        <v>17000</v>
      </c>
      <c r="O376" s="2">
        <v>17014.467000000001</v>
      </c>
      <c r="P376" s="2">
        <v>14220.495999999999</v>
      </c>
      <c r="Q376" t="s">
        <v>49</v>
      </c>
      <c r="R376" t="s">
        <v>23</v>
      </c>
      <c r="S376" t="s">
        <v>34</v>
      </c>
      <c r="T376" t="s">
        <v>8</v>
      </c>
    </row>
    <row r="377" spans="1:20" x14ac:dyDescent="0.25">
      <c r="A377" s="56">
        <f>P377</f>
        <v>26541</v>
      </c>
      <c r="B377" s="60" t="s">
        <v>1446</v>
      </c>
      <c r="C377" s="59"/>
      <c r="E377" s="59"/>
      <c r="F377" t="s">
        <v>122</v>
      </c>
      <c r="G377" s="1">
        <v>45237</v>
      </c>
      <c r="H377" t="s">
        <v>112</v>
      </c>
      <c r="I377" t="s">
        <v>90</v>
      </c>
      <c r="J377" t="s">
        <v>1</v>
      </c>
      <c r="K377" t="s">
        <v>2</v>
      </c>
      <c r="L377" t="s">
        <v>3</v>
      </c>
      <c r="M377" t="s">
        <v>4</v>
      </c>
      <c r="N377" s="2">
        <v>31634</v>
      </c>
      <c r="O377" s="2">
        <v>31741.524000000001</v>
      </c>
      <c r="P377" s="2">
        <v>26541</v>
      </c>
      <c r="Q377" t="s">
        <v>73</v>
      </c>
      <c r="R377" t="s">
        <v>6</v>
      </c>
      <c r="S377" t="s">
        <v>123</v>
      </c>
      <c r="T377" t="s">
        <v>8</v>
      </c>
    </row>
    <row r="378" spans="1:20" x14ac:dyDescent="0.25">
      <c r="A378" s="56">
        <f>P378</f>
        <v>26160</v>
      </c>
      <c r="B378" s="60" t="s">
        <v>1446</v>
      </c>
      <c r="C378" s="59"/>
      <c r="E378" s="59"/>
      <c r="F378" t="s">
        <v>96</v>
      </c>
      <c r="G378" s="1">
        <v>45237</v>
      </c>
      <c r="H378" t="s">
        <v>76</v>
      </c>
      <c r="I378" t="s">
        <v>85</v>
      </c>
      <c r="J378" t="s">
        <v>1</v>
      </c>
      <c r="K378" t="s">
        <v>2</v>
      </c>
      <c r="L378" t="s">
        <v>3</v>
      </c>
      <c r="M378" t="s">
        <v>4</v>
      </c>
      <c r="N378" s="2">
        <v>31217</v>
      </c>
      <c r="O378" s="2">
        <v>31270.038</v>
      </c>
      <c r="P378" s="2">
        <v>26160</v>
      </c>
      <c r="Q378" t="s">
        <v>55</v>
      </c>
      <c r="R378" t="s">
        <v>6</v>
      </c>
      <c r="S378" t="s">
        <v>97</v>
      </c>
      <c r="T378" t="s">
        <v>8</v>
      </c>
    </row>
    <row r="379" spans="1:20" x14ac:dyDescent="0.25">
      <c r="A379" s="74">
        <f t="shared" ref="A379" si="136">P379+P380</f>
        <v>26835.987000000001</v>
      </c>
      <c r="B379" s="74" t="str">
        <f>'Весы 07.11.2023'!I66</f>
        <v>26790</v>
      </c>
      <c r="C379" s="70" t="str">
        <f>'Весы 07.11.2023'!K66</f>
        <v>-46</v>
      </c>
      <c r="D379" s="74">
        <f t="shared" ref="D379" si="137">B379-C379</f>
        <v>26836</v>
      </c>
      <c r="E379" s="74">
        <f t="shared" ref="E379" si="138">A379-D379</f>
        <v>-1.299999999901047E-2</v>
      </c>
      <c r="F379" t="s">
        <v>78</v>
      </c>
      <c r="G379" s="1">
        <v>45237</v>
      </c>
      <c r="H379" t="s">
        <v>235</v>
      </c>
      <c r="I379" t="s">
        <v>103</v>
      </c>
      <c r="J379" t="s">
        <v>11</v>
      </c>
      <c r="K379" t="s">
        <v>12</v>
      </c>
      <c r="L379" t="s">
        <v>3</v>
      </c>
      <c r="M379" t="s">
        <v>4</v>
      </c>
      <c r="N379" s="2">
        <v>11985</v>
      </c>
      <c r="O379" s="2">
        <v>11999.55</v>
      </c>
      <c r="P379" s="2">
        <v>8934.8179999999993</v>
      </c>
      <c r="Q379" t="s">
        <v>49</v>
      </c>
      <c r="R379" t="s">
        <v>23</v>
      </c>
      <c r="S379" t="s">
        <v>79</v>
      </c>
      <c r="T379" t="s">
        <v>8</v>
      </c>
    </row>
    <row r="380" spans="1:20" x14ac:dyDescent="0.25">
      <c r="A380" s="74"/>
      <c r="B380" s="74"/>
      <c r="C380" s="71"/>
      <c r="D380" s="74"/>
      <c r="E380" s="74"/>
      <c r="F380" t="s">
        <v>78</v>
      </c>
      <c r="G380" s="1">
        <v>45237</v>
      </c>
      <c r="H380" t="s">
        <v>235</v>
      </c>
      <c r="I380" t="s">
        <v>63</v>
      </c>
      <c r="J380" t="s">
        <v>1</v>
      </c>
      <c r="K380" t="s">
        <v>2</v>
      </c>
      <c r="L380" t="s">
        <v>3</v>
      </c>
      <c r="M380" t="s">
        <v>4</v>
      </c>
      <c r="N380" s="2">
        <v>21490</v>
      </c>
      <c r="O380" s="2">
        <v>21471.605</v>
      </c>
      <c r="P380" s="2">
        <v>17901.169000000002</v>
      </c>
      <c r="Q380" t="s">
        <v>48</v>
      </c>
      <c r="R380" t="s">
        <v>23</v>
      </c>
      <c r="S380" t="s">
        <v>79</v>
      </c>
      <c r="T380" t="s">
        <v>8</v>
      </c>
    </row>
    <row r="381" spans="1:20" x14ac:dyDescent="0.25">
      <c r="A381" s="74">
        <f>P381+P382+P383</f>
        <v>25063.48</v>
      </c>
      <c r="B381" s="74" t="str">
        <f>'Весы 07.11.2023'!I68</f>
        <v>25030</v>
      </c>
      <c r="C381" s="70" t="str">
        <f>'Весы 07.11.2023'!K68</f>
        <v>-33</v>
      </c>
      <c r="D381" s="74">
        <f>B381-C381</f>
        <v>25063</v>
      </c>
      <c r="E381" s="74">
        <f>A381-D381</f>
        <v>0.47999999999956344</v>
      </c>
      <c r="F381" t="s">
        <v>5</v>
      </c>
      <c r="G381" s="1">
        <v>45237</v>
      </c>
      <c r="H381" t="s">
        <v>212</v>
      </c>
      <c r="I381" t="s">
        <v>54</v>
      </c>
      <c r="J381" t="s">
        <v>11</v>
      </c>
      <c r="K381" t="s">
        <v>12</v>
      </c>
      <c r="L381" t="s">
        <v>3</v>
      </c>
      <c r="M381" t="s">
        <v>4</v>
      </c>
      <c r="N381" s="2">
        <v>7715</v>
      </c>
      <c r="O381" s="2">
        <v>7715</v>
      </c>
      <c r="P381" s="2">
        <v>5759.2479999999996</v>
      </c>
      <c r="Q381" t="s">
        <v>39</v>
      </c>
      <c r="R381" t="s">
        <v>6</v>
      </c>
      <c r="S381" t="s">
        <v>102</v>
      </c>
      <c r="T381" t="s">
        <v>8</v>
      </c>
    </row>
    <row r="382" spans="1:20" x14ac:dyDescent="0.25">
      <c r="A382" s="74"/>
      <c r="B382" s="74"/>
      <c r="C382" s="71"/>
      <c r="D382" s="74"/>
      <c r="E382" s="74"/>
      <c r="F382" t="s">
        <v>5</v>
      </c>
      <c r="G382" s="1">
        <v>45237</v>
      </c>
      <c r="H382" t="s">
        <v>212</v>
      </c>
      <c r="I382" t="s">
        <v>50</v>
      </c>
      <c r="J382" t="s">
        <v>1</v>
      </c>
      <c r="K382" t="s">
        <v>2</v>
      </c>
      <c r="L382" t="s">
        <v>3</v>
      </c>
      <c r="M382" t="s">
        <v>4</v>
      </c>
      <c r="N382" s="2">
        <v>7695</v>
      </c>
      <c r="O382" s="2">
        <v>7681.9260000000004</v>
      </c>
      <c r="P382" s="2">
        <v>6429.174</v>
      </c>
      <c r="Q382" t="s">
        <v>33</v>
      </c>
      <c r="R382" t="s">
        <v>6</v>
      </c>
      <c r="S382" t="s">
        <v>102</v>
      </c>
      <c r="T382" t="s">
        <v>8</v>
      </c>
    </row>
    <row r="383" spans="1:20" x14ac:dyDescent="0.25">
      <c r="A383" s="74"/>
      <c r="B383" s="74"/>
      <c r="C383" s="71"/>
      <c r="D383" s="74"/>
      <c r="E383" s="74"/>
      <c r="F383" t="s">
        <v>5</v>
      </c>
      <c r="G383" s="1">
        <v>45237</v>
      </c>
      <c r="H383" t="s">
        <v>169</v>
      </c>
      <c r="I383" t="s">
        <v>50</v>
      </c>
      <c r="J383" t="s">
        <v>1</v>
      </c>
      <c r="K383" t="s">
        <v>2</v>
      </c>
      <c r="L383" t="s">
        <v>3</v>
      </c>
      <c r="M383" t="s">
        <v>4</v>
      </c>
      <c r="N383" s="2">
        <v>15410</v>
      </c>
      <c r="O383" s="2">
        <v>15383.817999999999</v>
      </c>
      <c r="P383" s="2">
        <v>12875.058000000001</v>
      </c>
      <c r="Q383" t="s">
        <v>33</v>
      </c>
      <c r="R383" t="s">
        <v>6</v>
      </c>
      <c r="S383" t="s">
        <v>102</v>
      </c>
      <c r="T383" t="s">
        <v>8</v>
      </c>
    </row>
    <row r="384" spans="1:20" x14ac:dyDescent="0.25">
      <c r="A384" s="74">
        <f>P384+P385+P386</f>
        <v>19047.222000000002</v>
      </c>
      <c r="B384" s="74" t="str">
        <f>'Весы 07.11.2023'!I67</f>
        <v>19030</v>
      </c>
      <c r="C384" s="70" t="str">
        <f>'Весы 07.11.2023'!K67</f>
        <v>-17</v>
      </c>
      <c r="D384" s="74">
        <f>B384-C384</f>
        <v>19047</v>
      </c>
      <c r="E384" s="74">
        <f>A384-D384</f>
        <v>0.22200000000157161</v>
      </c>
      <c r="F384" t="s">
        <v>22</v>
      </c>
      <c r="G384" s="1">
        <v>45237</v>
      </c>
      <c r="H384" t="s">
        <v>134</v>
      </c>
      <c r="I384" t="s">
        <v>128</v>
      </c>
      <c r="J384" t="s">
        <v>11</v>
      </c>
      <c r="K384" t="s">
        <v>12</v>
      </c>
      <c r="L384" t="s">
        <v>3</v>
      </c>
      <c r="M384" t="s">
        <v>4</v>
      </c>
      <c r="N384" s="2">
        <v>12015</v>
      </c>
      <c r="O384" s="2">
        <v>12015</v>
      </c>
      <c r="P384" s="2">
        <v>8981.2119999999995</v>
      </c>
      <c r="Q384" t="s">
        <v>39</v>
      </c>
      <c r="R384" t="s">
        <v>23</v>
      </c>
      <c r="S384" t="s">
        <v>24</v>
      </c>
      <c r="T384" t="s">
        <v>8</v>
      </c>
    </row>
    <row r="385" spans="1:20" x14ac:dyDescent="0.25">
      <c r="A385" s="74"/>
      <c r="B385" s="74"/>
      <c r="C385" s="71"/>
      <c r="D385" s="74"/>
      <c r="E385" s="74"/>
      <c r="F385" t="s">
        <v>22</v>
      </c>
      <c r="G385" s="1">
        <v>45237</v>
      </c>
      <c r="H385" t="s">
        <v>134</v>
      </c>
      <c r="I385" t="s">
        <v>129</v>
      </c>
      <c r="J385" t="s">
        <v>20</v>
      </c>
      <c r="K385" t="s">
        <v>21</v>
      </c>
      <c r="L385" t="s">
        <v>3</v>
      </c>
      <c r="M385" t="s">
        <v>4</v>
      </c>
      <c r="N385" s="2">
        <v>3055</v>
      </c>
      <c r="O385" s="2">
        <v>3047.2429999999999</v>
      </c>
      <c r="P385" s="2">
        <v>2555.5079999999998</v>
      </c>
      <c r="Q385" t="s">
        <v>36</v>
      </c>
      <c r="R385" t="s">
        <v>23</v>
      </c>
      <c r="S385" t="s">
        <v>24</v>
      </c>
      <c r="T385" t="s">
        <v>8</v>
      </c>
    </row>
    <row r="386" spans="1:20" x14ac:dyDescent="0.25">
      <c r="A386" s="74"/>
      <c r="B386" s="74"/>
      <c r="C386" s="71"/>
      <c r="D386" s="74"/>
      <c r="E386" s="74"/>
      <c r="F386" t="s">
        <v>22</v>
      </c>
      <c r="G386" s="1">
        <v>45237</v>
      </c>
      <c r="H386" t="s">
        <v>134</v>
      </c>
      <c r="I386" t="s">
        <v>56</v>
      </c>
      <c r="J386" t="s">
        <v>1</v>
      </c>
      <c r="K386" t="s">
        <v>2</v>
      </c>
      <c r="L386" t="s">
        <v>3</v>
      </c>
      <c r="M386" t="s">
        <v>4</v>
      </c>
      <c r="N386" s="2">
        <v>9000</v>
      </c>
      <c r="O386" s="2">
        <v>8977.0409999999993</v>
      </c>
      <c r="P386" s="2">
        <v>7510.5020000000004</v>
      </c>
      <c r="Q386" t="s">
        <v>36</v>
      </c>
      <c r="R386" t="s">
        <v>23</v>
      </c>
      <c r="S386" t="s">
        <v>24</v>
      </c>
      <c r="T386" t="s">
        <v>8</v>
      </c>
    </row>
    <row r="387" spans="1:20" x14ac:dyDescent="0.25">
      <c r="A387" s="74">
        <f t="shared" ref="A387" si="139">P387+P388</f>
        <v>26635.758999999998</v>
      </c>
      <c r="B387" s="74" t="str">
        <f>'Весы 07.11.2023'!I69</f>
        <v>26590</v>
      </c>
      <c r="C387" s="70" t="str">
        <f>'Весы 07.11.2023'!K69</f>
        <v>-46</v>
      </c>
      <c r="D387" s="74">
        <f t="shared" ref="D387" si="140">B387-C387</f>
        <v>26636</v>
      </c>
      <c r="E387" s="74">
        <f t="shared" ref="E387" si="141">A387-D387</f>
        <v>-0.24100000000180444</v>
      </c>
      <c r="F387" t="s">
        <v>32</v>
      </c>
      <c r="G387" s="1">
        <v>45237</v>
      </c>
      <c r="H387" t="s">
        <v>0</v>
      </c>
      <c r="I387" t="s">
        <v>54</v>
      </c>
      <c r="J387" t="s">
        <v>11</v>
      </c>
      <c r="K387" t="s">
        <v>12</v>
      </c>
      <c r="L387" t="s">
        <v>3</v>
      </c>
      <c r="M387" t="s">
        <v>4</v>
      </c>
      <c r="N387" s="2">
        <v>15000</v>
      </c>
      <c r="O387" s="2">
        <v>15036.405000000001</v>
      </c>
      <c r="P387" s="2">
        <v>11197.504000000001</v>
      </c>
      <c r="Q387" t="s">
        <v>55</v>
      </c>
      <c r="R387" t="s">
        <v>23</v>
      </c>
      <c r="S387" t="s">
        <v>34</v>
      </c>
      <c r="T387" t="s">
        <v>8</v>
      </c>
    </row>
    <row r="388" spans="1:20" x14ac:dyDescent="0.25">
      <c r="A388" s="74"/>
      <c r="B388" s="74"/>
      <c r="C388" s="71"/>
      <c r="D388" s="74"/>
      <c r="E388" s="74"/>
      <c r="F388" t="s">
        <v>32</v>
      </c>
      <c r="G388" s="1">
        <v>45237</v>
      </c>
      <c r="H388" t="s">
        <v>0</v>
      </c>
      <c r="I388" t="s">
        <v>56</v>
      </c>
      <c r="J388" t="s">
        <v>1</v>
      </c>
      <c r="K388" t="s">
        <v>2</v>
      </c>
      <c r="L388" t="s">
        <v>3</v>
      </c>
      <c r="M388" t="s">
        <v>4</v>
      </c>
      <c r="N388" s="2">
        <v>18500</v>
      </c>
      <c r="O388" s="2">
        <v>18468.494999999999</v>
      </c>
      <c r="P388" s="2">
        <v>15438.254999999999</v>
      </c>
      <c r="Q388" t="s">
        <v>33</v>
      </c>
      <c r="R388" t="s">
        <v>23</v>
      </c>
      <c r="S388" t="s">
        <v>34</v>
      </c>
      <c r="T388" t="s">
        <v>8</v>
      </c>
    </row>
    <row r="389" spans="1:20" x14ac:dyDescent="0.25">
      <c r="A389" s="74">
        <f>P389+P390+P391+P392</f>
        <v>26526.503000000001</v>
      </c>
      <c r="B389" s="74" t="str">
        <f>'Весы 07.11.2023'!I58</f>
        <v>26480</v>
      </c>
      <c r="C389" s="70" t="str">
        <f>'Весы 07.11.2023'!K58</f>
        <v>-47</v>
      </c>
      <c r="D389" s="74">
        <f>B389-C389</f>
        <v>26527</v>
      </c>
      <c r="E389" s="74">
        <f>A389-D389</f>
        <v>-0.49699999999938882</v>
      </c>
      <c r="F389" t="s">
        <v>28</v>
      </c>
      <c r="G389" s="1">
        <v>45237</v>
      </c>
      <c r="H389" t="s">
        <v>171</v>
      </c>
      <c r="I389" t="s">
        <v>25</v>
      </c>
      <c r="J389" t="s">
        <v>11</v>
      </c>
      <c r="K389" t="s">
        <v>12</v>
      </c>
      <c r="L389" t="s">
        <v>3</v>
      </c>
      <c r="M389" t="s">
        <v>4</v>
      </c>
      <c r="N389" s="2">
        <v>5000</v>
      </c>
      <c r="O389" s="2">
        <v>5006.08</v>
      </c>
      <c r="P389" s="2">
        <v>3722.498</v>
      </c>
      <c r="Q389" t="s">
        <v>49</v>
      </c>
      <c r="R389" t="s">
        <v>23</v>
      </c>
      <c r="S389" t="s">
        <v>29</v>
      </c>
      <c r="T389" t="s">
        <v>8</v>
      </c>
    </row>
    <row r="390" spans="1:20" x14ac:dyDescent="0.25">
      <c r="A390" s="74"/>
      <c r="B390" s="74"/>
      <c r="C390" s="71"/>
      <c r="D390" s="74"/>
      <c r="E390" s="74"/>
      <c r="F390" t="s">
        <v>28</v>
      </c>
      <c r="G390" s="1">
        <v>45237</v>
      </c>
      <c r="H390" t="s">
        <v>171</v>
      </c>
      <c r="I390" t="s">
        <v>38</v>
      </c>
      <c r="J390" t="s">
        <v>1</v>
      </c>
      <c r="K390" t="s">
        <v>2</v>
      </c>
      <c r="L390" t="s">
        <v>3</v>
      </c>
      <c r="M390" t="s">
        <v>4</v>
      </c>
      <c r="N390" s="2">
        <v>12000</v>
      </c>
      <c r="O390" s="2">
        <v>11979.516</v>
      </c>
      <c r="P390" s="2">
        <v>10002.004000000001</v>
      </c>
      <c r="Q390" t="s">
        <v>33</v>
      </c>
      <c r="R390" t="s">
        <v>23</v>
      </c>
      <c r="S390" t="s">
        <v>29</v>
      </c>
      <c r="T390" t="s">
        <v>8</v>
      </c>
    </row>
    <row r="391" spans="1:20" x14ac:dyDescent="0.25">
      <c r="A391" s="74"/>
      <c r="B391" s="74"/>
      <c r="C391" s="71"/>
      <c r="D391" s="74"/>
      <c r="E391" s="74"/>
      <c r="F391" t="s">
        <v>28</v>
      </c>
      <c r="G391" s="1">
        <v>45237</v>
      </c>
      <c r="H391" t="s">
        <v>100</v>
      </c>
      <c r="I391" t="s">
        <v>25</v>
      </c>
      <c r="J391" t="s">
        <v>11</v>
      </c>
      <c r="K391" t="s">
        <v>12</v>
      </c>
      <c r="L391" t="s">
        <v>3</v>
      </c>
      <c r="M391" t="s">
        <v>4</v>
      </c>
      <c r="N391" s="2">
        <v>6000</v>
      </c>
      <c r="O391" s="2">
        <v>6007.2960000000003</v>
      </c>
      <c r="P391" s="2">
        <v>4466.9979999999996</v>
      </c>
      <c r="Q391" t="s">
        <v>49</v>
      </c>
      <c r="R391" t="s">
        <v>23</v>
      </c>
      <c r="S391" t="s">
        <v>29</v>
      </c>
      <c r="T391" t="s">
        <v>8</v>
      </c>
    </row>
    <row r="392" spans="1:20" x14ac:dyDescent="0.25">
      <c r="A392" s="74"/>
      <c r="B392" s="74"/>
      <c r="C392" s="71"/>
      <c r="D392" s="74"/>
      <c r="E392" s="74"/>
      <c r="F392" t="s">
        <v>28</v>
      </c>
      <c r="G392" s="1">
        <v>45237</v>
      </c>
      <c r="H392" t="s">
        <v>100</v>
      </c>
      <c r="I392" t="s">
        <v>38</v>
      </c>
      <c r="J392" t="s">
        <v>1</v>
      </c>
      <c r="K392" t="s">
        <v>2</v>
      </c>
      <c r="L392" t="s">
        <v>3</v>
      </c>
      <c r="M392" t="s">
        <v>4</v>
      </c>
      <c r="N392" s="2">
        <v>10000</v>
      </c>
      <c r="O392" s="2">
        <v>9982.93</v>
      </c>
      <c r="P392" s="2">
        <v>8335.0030000000006</v>
      </c>
      <c r="Q392" t="s">
        <v>33</v>
      </c>
      <c r="R392" t="s">
        <v>23</v>
      </c>
      <c r="S392" t="s">
        <v>29</v>
      </c>
      <c r="T392" t="s">
        <v>8</v>
      </c>
    </row>
    <row r="393" spans="1:20" x14ac:dyDescent="0.25">
      <c r="A393" s="74">
        <f>P393+P394+P395+P396</f>
        <v>25102.345999999998</v>
      </c>
      <c r="B393" s="74" t="str">
        <f>'Весы 07.11.2023'!I60</f>
        <v>25060</v>
      </c>
      <c r="C393" s="70" t="str">
        <f>'Весы 07.11.2023'!K60</f>
        <v>-42</v>
      </c>
      <c r="D393" s="74">
        <f>B393-C393</f>
        <v>25102</v>
      </c>
      <c r="E393" s="74">
        <f>A393-D393</f>
        <v>0.3459999999977299</v>
      </c>
      <c r="F393" t="s">
        <v>46</v>
      </c>
      <c r="G393" s="1">
        <v>45237</v>
      </c>
      <c r="H393" t="s">
        <v>187</v>
      </c>
      <c r="I393" t="s">
        <v>114</v>
      </c>
      <c r="J393" t="s">
        <v>16</v>
      </c>
      <c r="K393" t="s">
        <v>17</v>
      </c>
      <c r="L393" t="s">
        <v>3</v>
      </c>
      <c r="M393" t="s">
        <v>4</v>
      </c>
      <c r="N393" s="2">
        <v>6445</v>
      </c>
      <c r="O393" s="2">
        <v>6445</v>
      </c>
      <c r="P393" s="2">
        <v>4795.08</v>
      </c>
      <c r="Q393" t="s">
        <v>39</v>
      </c>
      <c r="R393" t="s">
        <v>23</v>
      </c>
      <c r="S393" t="s">
        <v>47</v>
      </c>
      <c r="T393" t="s">
        <v>8</v>
      </c>
    </row>
    <row r="394" spans="1:20" x14ac:dyDescent="0.25">
      <c r="A394" s="74"/>
      <c r="B394" s="74"/>
      <c r="C394" s="71"/>
      <c r="D394" s="74"/>
      <c r="E394" s="74"/>
      <c r="F394" t="s">
        <v>46</v>
      </c>
      <c r="G394" s="1">
        <v>45237</v>
      </c>
      <c r="H394" t="s">
        <v>187</v>
      </c>
      <c r="I394" t="s">
        <v>25</v>
      </c>
      <c r="J394" t="s">
        <v>11</v>
      </c>
      <c r="K394" t="s">
        <v>12</v>
      </c>
      <c r="L394" t="s">
        <v>3</v>
      </c>
      <c r="M394" t="s">
        <v>4</v>
      </c>
      <c r="N394" s="2">
        <v>12895</v>
      </c>
      <c r="O394" s="2">
        <v>12863.768</v>
      </c>
      <c r="P394" s="2">
        <v>9600.3289999999997</v>
      </c>
      <c r="Q394" t="s">
        <v>33</v>
      </c>
      <c r="R394" t="s">
        <v>23</v>
      </c>
      <c r="S394" t="s">
        <v>47</v>
      </c>
      <c r="T394" t="s">
        <v>8</v>
      </c>
    </row>
    <row r="395" spans="1:20" x14ac:dyDescent="0.25">
      <c r="A395" s="74"/>
      <c r="B395" s="74"/>
      <c r="C395" s="71"/>
      <c r="D395" s="74"/>
      <c r="E395" s="74"/>
      <c r="F395" t="s">
        <v>46</v>
      </c>
      <c r="G395" s="1">
        <v>45237</v>
      </c>
      <c r="H395" t="s">
        <v>187</v>
      </c>
      <c r="I395" t="s">
        <v>35</v>
      </c>
      <c r="J395" t="s">
        <v>20</v>
      </c>
      <c r="K395" t="s">
        <v>21</v>
      </c>
      <c r="L395" t="s">
        <v>3</v>
      </c>
      <c r="M395" t="s">
        <v>4</v>
      </c>
      <c r="N395" s="2">
        <v>6405</v>
      </c>
      <c r="O395" s="2">
        <v>6388.68</v>
      </c>
      <c r="P395" s="2">
        <v>5348.1760000000004</v>
      </c>
      <c r="Q395" t="s">
        <v>36</v>
      </c>
      <c r="R395" t="s">
        <v>23</v>
      </c>
      <c r="S395" t="s">
        <v>47</v>
      </c>
      <c r="T395" t="s">
        <v>8</v>
      </c>
    </row>
    <row r="396" spans="1:20" x14ac:dyDescent="0.25">
      <c r="A396" s="74"/>
      <c r="B396" s="74"/>
      <c r="C396" s="71"/>
      <c r="D396" s="74"/>
      <c r="E396" s="74"/>
      <c r="F396" t="s">
        <v>46</v>
      </c>
      <c r="G396" s="1">
        <v>45237</v>
      </c>
      <c r="H396" t="s">
        <v>187</v>
      </c>
      <c r="I396" t="s">
        <v>68</v>
      </c>
      <c r="J396" t="s">
        <v>1</v>
      </c>
      <c r="K396" t="s">
        <v>2</v>
      </c>
      <c r="L396" t="s">
        <v>3</v>
      </c>
      <c r="M396" t="s">
        <v>4</v>
      </c>
      <c r="N396" s="2">
        <v>6410</v>
      </c>
      <c r="O396" s="2">
        <v>6399.1220000000003</v>
      </c>
      <c r="P396" s="2">
        <v>5358.7610000000004</v>
      </c>
      <c r="Q396" t="s">
        <v>33</v>
      </c>
      <c r="R396" t="s">
        <v>23</v>
      </c>
      <c r="S396" t="s">
        <v>47</v>
      </c>
      <c r="T396" t="s">
        <v>8</v>
      </c>
    </row>
    <row r="397" spans="1:20" x14ac:dyDescent="0.25">
      <c r="A397" s="74">
        <f>P397+P398</f>
        <v>24593.453999999998</v>
      </c>
      <c r="B397" s="74" t="str">
        <f>'Весы 07.11.2023'!I62</f>
        <v>24550</v>
      </c>
      <c r="C397" s="70" t="str">
        <f>'Весы 07.11.2023'!K62</f>
        <v>-43</v>
      </c>
      <c r="D397" s="74">
        <f t="shared" ref="D397" si="142">B397-C397</f>
        <v>24593</v>
      </c>
      <c r="E397" s="74">
        <f t="shared" ref="E397" si="143">A397-D397</f>
        <v>0.45399999999790452</v>
      </c>
      <c r="F397" t="s">
        <v>107</v>
      </c>
      <c r="G397" s="1">
        <v>45237</v>
      </c>
      <c r="H397" t="s">
        <v>214</v>
      </c>
      <c r="I397" t="s">
        <v>103</v>
      </c>
      <c r="J397" t="s">
        <v>11</v>
      </c>
      <c r="K397" t="s">
        <v>12</v>
      </c>
      <c r="L397" t="s">
        <v>3</v>
      </c>
      <c r="M397" t="s">
        <v>4</v>
      </c>
      <c r="N397" s="2">
        <v>13100</v>
      </c>
      <c r="O397" s="2">
        <v>13131.859</v>
      </c>
      <c r="P397" s="2">
        <v>9766.0540000000001</v>
      </c>
      <c r="Q397" t="s">
        <v>55</v>
      </c>
      <c r="R397" t="s">
        <v>23</v>
      </c>
      <c r="S397" t="s">
        <v>108</v>
      </c>
      <c r="T397" t="s">
        <v>8</v>
      </c>
    </row>
    <row r="398" spans="1:20" x14ac:dyDescent="0.25">
      <c r="A398" s="74"/>
      <c r="B398" s="74"/>
      <c r="C398" s="71"/>
      <c r="D398" s="74"/>
      <c r="E398" s="74"/>
      <c r="F398" t="s">
        <v>107</v>
      </c>
      <c r="G398" s="1">
        <v>45237</v>
      </c>
      <c r="H398" t="s">
        <v>214</v>
      </c>
      <c r="I398" t="s">
        <v>63</v>
      </c>
      <c r="J398" t="s">
        <v>1</v>
      </c>
      <c r="K398" t="s">
        <v>2</v>
      </c>
      <c r="L398" t="s">
        <v>3</v>
      </c>
      <c r="M398" t="s">
        <v>4</v>
      </c>
      <c r="N398" s="2">
        <v>17800</v>
      </c>
      <c r="O398" s="2">
        <v>17800</v>
      </c>
      <c r="P398" s="2">
        <v>14827.4</v>
      </c>
      <c r="Q398" t="s">
        <v>39</v>
      </c>
      <c r="R398" t="s">
        <v>23</v>
      </c>
      <c r="S398" t="s">
        <v>108</v>
      </c>
      <c r="T398" t="s">
        <v>8</v>
      </c>
    </row>
    <row r="399" spans="1:20" x14ac:dyDescent="0.25">
      <c r="A399" s="74">
        <f>P399+P400+P401</f>
        <v>25037.613000000001</v>
      </c>
      <c r="B399" s="74" t="str">
        <f>'Весы 07.11.2023'!I70</f>
        <v>24980</v>
      </c>
      <c r="C399" s="70" t="str">
        <f>'Весы 07.11.2023'!K70</f>
        <v>-58</v>
      </c>
      <c r="D399" s="74">
        <f>B399-C399</f>
        <v>25038</v>
      </c>
      <c r="E399" s="74">
        <f>A399-D399</f>
        <v>-0.38699999999880674</v>
      </c>
      <c r="F399" t="s">
        <v>70</v>
      </c>
      <c r="G399" s="1">
        <v>45237</v>
      </c>
      <c r="H399" t="s">
        <v>221</v>
      </c>
      <c r="I399" t="s">
        <v>15</v>
      </c>
      <c r="J399" t="s">
        <v>16</v>
      </c>
      <c r="K399" t="s">
        <v>17</v>
      </c>
      <c r="L399" t="s">
        <v>3</v>
      </c>
      <c r="M399" t="s">
        <v>4</v>
      </c>
      <c r="N399" s="2">
        <v>6400</v>
      </c>
      <c r="O399" s="2">
        <v>6392.2110000000002</v>
      </c>
      <c r="P399" s="2">
        <v>4755.1980000000003</v>
      </c>
      <c r="Q399" t="s">
        <v>48</v>
      </c>
      <c r="R399" t="s">
        <v>23</v>
      </c>
      <c r="S399" t="s">
        <v>71</v>
      </c>
      <c r="T399" t="s">
        <v>8</v>
      </c>
    </row>
    <row r="400" spans="1:20" x14ac:dyDescent="0.25">
      <c r="A400" s="74"/>
      <c r="B400" s="74"/>
      <c r="C400" s="71"/>
      <c r="D400" s="74"/>
      <c r="E400" s="74"/>
      <c r="F400" t="s">
        <v>70</v>
      </c>
      <c r="G400" s="1">
        <v>45237</v>
      </c>
      <c r="H400" t="s">
        <v>221</v>
      </c>
      <c r="I400" t="s">
        <v>54</v>
      </c>
      <c r="J400" t="s">
        <v>11</v>
      </c>
      <c r="K400" t="s">
        <v>12</v>
      </c>
      <c r="L400" t="s">
        <v>3</v>
      </c>
      <c r="M400" t="s">
        <v>4</v>
      </c>
      <c r="N400" s="2">
        <v>12810</v>
      </c>
      <c r="O400" s="2">
        <v>12794.526</v>
      </c>
      <c r="P400" s="2">
        <v>9562.6650000000009</v>
      </c>
      <c r="Q400" t="s">
        <v>48</v>
      </c>
      <c r="R400" t="s">
        <v>23</v>
      </c>
      <c r="S400" t="s">
        <v>71</v>
      </c>
      <c r="T400" t="s">
        <v>8</v>
      </c>
    </row>
    <row r="401" spans="1:20" x14ac:dyDescent="0.25">
      <c r="A401" s="74"/>
      <c r="B401" s="74"/>
      <c r="C401" s="71"/>
      <c r="D401" s="74"/>
      <c r="E401" s="74"/>
      <c r="F401" t="s">
        <v>70</v>
      </c>
      <c r="G401" s="1">
        <v>45237</v>
      </c>
      <c r="H401" t="s">
        <v>221</v>
      </c>
      <c r="I401" t="s">
        <v>129</v>
      </c>
      <c r="J401" t="s">
        <v>20</v>
      </c>
      <c r="K401" t="s">
        <v>21</v>
      </c>
      <c r="L401" t="s">
        <v>3</v>
      </c>
      <c r="M401" t="s">
        <v>4</v>
      </c>
      <c r="N401" s="2">
        <v>12815</v>
      </c>
      <c r="O401" s="2">
        <v>12793.279</v>
      </c>
      <c r="P401" s="2">
        <v>10719.75</v>
      </c>
      <c r="Q401" t="s">
        <v>33</v>
      </c>
      <c r="R401" t="s">
        <v>23</v>
      </c>
      <c r="S401" t="s">
        <v>71</v>
      </c>
      <c r="T401" t="s">
        <v>8</v>
      </c>
    </row>
    <row r="402" spans="1:20" x14ac:dyDescent="0.25">
      <c r="G402" s="1"/>
      <c r="N402" s="2"/>
      <c r="O402" s="2"/>
      <c r="P402" s="2"/>
    </row>
    <row r="403" spans="1:20" x14ac:dyDescent="0.25">
      <c r="G403" s="1"/>
      <c r="N403" s="2"/>
      <c r="O403" s="2"/>
      <c r="P403" s="2"/>
    </row>
    <row r="404" spans="1:20" x14ac:dyDescent="0.25">
      <c r="A404" s="74">
        <f>P404+P405</f>
        <v>19658.662</v>
      </c>
      <c r="B404" s="74" t="str">
        <f>'Весы 08.11.2023'!I61</f>
        <v>19450</v>
      </c>
      <c r="C404" s="70" t="str">
        <f>'Весы 08.11.2023'!K61</f>
        <v>-11</v>
      </c>
      <c r="D404" s="74">
        <f t="shared" ref="D404" si="144">B404-C404</f>
        <v>19461</v>
      </c>
      <c r="E404" s="72">
        <f t="shared" ref="E404" si="145">A404-D404</f>
        <v>197.66200000000026</v>
      </c>
      <c r="F404" t="s">
        <v>22</v>
      </c>
      <c r="G404" s="1">
        <v>45238</v>
      </c>
      <c r="H404" t="s">
        <v>126</v>
      </c>
      <c r="I404" t="s">
        <v>127</v>
      </c>
      <c r="J404" t="s">
        <v>11</v>
      </c>
      <c r="K404" t="s">
        <v>12</v>
      </c>
      <c r="L404" t="s">
        <v>3</v>
      </c>
      <c r="M404" t="s">
        <v>4</v>
      </c>
      <c r="N404" s="2">
        <v>7105</v>
      </c>
      <c r="O404" s="2">
        <v>7139.0609999999997</v>
      </c>
      <c r="P404" s="2">
        <v>5357.17</v>
      </c>
      <c r="Q404" t="s">
        <v>73</v>
      </c>
      <c r="R404" t="s">
        <v>23</v>
      </c>
      <c r="S404" t="s">
        <v>24</v>
      </c>
      <c r="T404" t="s">
        <v>8</v>
      </c>
    </row>
    <row r="405" spans="1:20" x14ac:dyDescent="0.25">
      <c r="A405" s="74"/>
      <c r="B405" s="74"/>
      <c r="C405" s="71"/>
      <c r="D405" s="74"/>
      <c r="E405" s="72"/>
      <c r="F405" t="s">
        <v>22</v>
      </c>
      <c r="G405" s="1">
        <v>45238</v>
      </c>
      <c r="H405" t="s">
        <v>126</v>
      </c>
      <c r="I405" t="s">
        <v>133</v>
      </c>
      <c r="J405" t="s">
        <v>1</v>
      </c>
      <c r="K405" t="s">
        <v>2</v>
      </c>
      <c r="L405" t="s">
        <v>3</v>
      </c>
      <c r="M405" t="s">
        <v>4</v>
      </c>
      <c r="N405" s="2">
        <v>16965</v>
      </c>
      <c r="O405" s="2">
        <v>17007.853999999999</v>
      </c>
      <c r="P405" s="2">
        <v>14301.492</v>
      </c>
      <c r="Q405" t="s">
        <v>51</v>
      </c>
      <c r="R405" t="s">
        <v>23</v>
      </c>
      <c r="S405" t="s">
        <v>24</v>
      </c>
      <c r="T405" t="s">
        <v>8</v>
      </c>
    </row>
    <row r="406" spans="1:20" x14ac:dyDescent="0.25">
      <c r="A406" s="74">
        <f>P406+P407+P408+P409</f>
        <v>24032.995999999999</v>
      </c>
      <c r="B406" s="74" t="str">
        <f>'Весы 08.11.2023'!I74</f>
        <v>23940</v>
      </c>
      <c r="C406" s="74" t="str">
        <f>'Весы 08.11.2023'!K74</f>
        <v>-6</v>
      </c>
      <c r="D406" s="74">
        <f t="shared" ref="D406" si="146">B406-C406</f>
        <v>23946</v>
      </c>
      <c r="E406" s="72">
        <f t="shared" ref="E406" si="147">A406-D406</f>
        <v>86.995999999999185</v>
      </c>
      <c r="F406" t="s">
        <v>174</v>
      </c>
      <c r="G406" s="1">
        <v>45238</v>
      </c>
      <c r="H406" t="s">
        <v>242</v>
      </c>
      <c r="I406" t="s">
        <v>53</v>
      </c>
      <c r="J406" t="s">
        <v>16</v>
      </c>
      <c r="K406" t="s">
        <v>17</v>
      </c>
      <c r="L406" t="s">
        <v>3</v>
      </c>
      <c r="M406" t="s">
        <v>4</v>
      </c>
      <c r="N406" s="2">
        <v>6000</v>
      </c>
      <c r="O406" s="2">
        <v>6014.5739999999996</v>
      </c>
      <c r="P406" s="2">
        <v>4476</v>
      </c>
      <c r="Q406" t="s">
        <v>55</v>
      </c>
      <c r="R406" t="s">
        <v>23</v>
      </c>
      <c r="S406" t="s">
        <v>243</v>
      </c>
      <c r="T406" t="s">
        <v>8</v>
      </c>
    </row>
    <row r="407" spans="1:20" x14ac:dyDescent="0.25">
      <c r="A407" s="74"/>
      <c r="B407" s="74"/>
      <c r="C407" s="74"/>
      <c r="D407" s="74"/>
      <c r="E407" s="72"/>
      <c r="F407" t="s">
        <v>174</v>
      </c>
      <c r="G407" s="1">
        <v>45238</v>
      </c>
      <c r="H407" t="s">
        <v>242</v>
      </c>
      <c r="I407" t="s">
        <v>52</v>
      </c>
      <c r="J407" t="s">
        <v>1</v>
      </c>
      <c r="K407" t="s">
        <v>2</v>
      </c>
      <c r="L407" t="s">
        <v>3</v>
      </c>
      <c r="M407" t="s">
        <v>4</v>
      </c>
      <c r="N407" s="2">
        <v>6000</v>
      </c>
      <c r="O407" s="2">
        <v>6005.0940000000001</v>
      </c>
      <c r="P407" s="2">
        <v>5024.9989999999998</v>
      </c>
      <c r="Q407" t="s">
        <v>49</v>
      </c>
      <c r="R407" t="s">
        <v>23</v>
      </c>
      <c r="S407" t="s">
        <v>243</v>
      </c>
      <c r="T407" t="s">
        <v>8</v>
      </c>
    </row>
    <row r="408" spans="1:20" x14ac:dyDescent="0.25">
      <c r="A408" s="74"/>
      <c r="B408" s="74"/>
      <c r="C408" s="74"/>
      <c r="D408" s="74"/>
      <c r="E408" s="72"/>
      <c r="F408" t="s">
        <v>174</v>
      </c>
      <c r="G408" s="1">
        <v>45238</v>
      </c>
      <c r="H408" t="s">
        <v>261</v>
      </c>
      <c r="I408" t="s">
        <v>64</v>
      </c>
      <c r="J408" t="s">
        <v>11</v>
      </c>
      <c r="K408" t="s">
        <v>12</v>
      </c>
      <c r="L408" t="s">
        <v>3</v>
      </c>
      <c r="M408" t="s">
        <v>4</v>
      </c>
      <c r="N408" s="2">
        <v>6000</v>
      </c>
      <c r="O408" s="2">
        <v>6014.5439999999999</v>
      </c>
      <c r="P408" s="2">
        <v>4481.9989999999998</v>
      </c>
      <c r="Q408" t="s">
        <v>55</v>
      </c>
      <c r="R408" t="s">
        <v>23</v>
      </c>
      <c r="S408" t="s">
        <v>243</v>
      </c>
      <c r="T408" t="s">
        <v>8</v>
      </c>
    </row>
    <row r="409" spans="1:20" x14ac:dyDescent="0.25">
      <c r="A409" s="74"/>
      <c r="B409" s="74"/>
      <c r="C409" s="74"/>
      <c r="D409" s="74"/>
      <c r="E409" s="72"/>
      <c r="F409" t="s">
        <v>174</v>
      </c>
      <c r="G409" s="1">
        <v>45238</v>
      </c>
      <c r="H409" t="s">
        <v>261</v>
      </c>
      <c r="I409" t="s">
        <v>52</v>
      </c>
      <c r="J409" t="s">
        <v>1</v>
      </c>
      <c r="K409" t="s">
        <v>2</v>
      </c>
      <c r="L409" t="s">
        <v>3</v>
      </c>
      <c r="M409" t="s">
        <v>4</v>
      </c>
      <c r="N409" s="2">
        <v>12000</v>
      </c>
      <c r="O409" s="2">
        <v>12010.188</v>
      </c>
      <c r="P409" s="2">
        <v>10049.998</v>
      </c>
      <c r="Q409" t="s">
        <v>49</v>
      </c>
      <c r="R409" t="s">
        <v>23</v>
      </c>
      <c r="S409" t="s">
        <v>243</v>
      </c>
      <c r="T409" t="s">
        <v>8</v>
      </c>
    </row>
    <row r="410" spans="1:20" x14ac:dyDescent="0.25">
      <c r="A410" s="74">
        <f>P410+P411+P412+P413</f>
        <v>26268.311999999998</v>
      </c>
      <c r="B410" s="74" t="str">
        <f>'Весы 08.11.2023'!I76</f>
        <v>26100</v>
      </c>
      <c r="C410" s="70" t="str">
        <f>'Весы 08.11.2023'!K76</f>
        <v>-39</v>
      </c>
      <c r="D410" s="74">
        <f>B410-C410</f>
        <v>26139</v>
      </c>
      <c r="E410" s="72">
        <f>A410-D410</f>
        <v>129.31199999999808</v>
      </c>
      <c r="F410" t="s">
        <v>70</v>
      </c>
      <c r="G410" s="1">
        <v>45238</v>
      </c>
      <c r="H410" t="s">
        <v>226</v>
      </c>
      <c r="I410" t="s">
        <v>64</v>
      </c>
      <c r="J410" t="s">
        <v>11</v>
      </c>
      <c r="K410" t="s">
        <v>12</v>
      </c>
      <c r="L410" t="s">
        <v>3</v>
      </c>
      <c r="M410" t="s">
        <v>4</v>
      </c>
      <c r="N410" s="2">
        <v>6390</v>
      </c>
      <c r="O410" s="2">
        <v>6405.4889999999996</v>
      </c>
      <c r="P410" s="2">
        <v>4773.3289999999997</v>
      </c>
      <c r="Q410" t="s">
        <v>55</v>
      </c>
      <c r="R410" t="s">
        <v>23</v>
      </c>
      <c r="S410" t="s">
        <v>71</v>
      </c>
      <c r="T410" t="s">
        <v>8</v>
      </c>
    </row>
    <row r="411" spans="1:20" x14ac:dyDescent="0.25">
      <c r="A411" s="74"/>
      <c r="B411" s="74"/>
      <c r="C411" s="71"/>
      <c r="D411" s="74"/>
      <c r="E411" s="72"/>
      <c r="F411" t="s">
        <v>70</v>
      </c>
      <c r="G411" s="1">
        <v>45238</v>
      </c>
      <c r="H411" t="s">
        <v>226</v>
      </c>
      <c r="I411" t="s">
        <v>94</v>
      </c>
      <c r="J411" t="s">
        <v>20</v>
      </c>
      <c r="K411" t="s">
        <v>21</v>
      </c>
      <c r="L411" t="s">
        <v>3</v>
      </c>
      <c r="M411" t="s">
        <v>4</v>
      </c>
      <c r="N411" s="2">
        <v>6425</v>
      </c>
      <c r="O411" s="2">
        <v>6435.8649999999998</v>
      </c>
      <c r="P411" s="2">
        <v>5397.0010000000002</v>
      </c>
      <c r="Q411" t="s">
        <v>55</v>
      </c>
      <c r="R411" t="s">
        <v>23</v>
      </c>
      <c r="S411" t="s">
        <v>71</v>
      </c>
      <c r="T411" t="s">
        <v>8</v>
      </c>
    </row>
    <row r="412" spans="1:20" x14ac:dyDescent="0.25">
      <c r="A412" s="74"/>
      <c r="B412" s="74"/>
      <c r="C412" s="71"/>
      <c r="D412" s="74"/>
      <c r="E412" s="72"/>
      <c r="F412" t="s">
        <v>70</v>
      </c>
      <c r="G412" s="1">
        <v>45238</v>
      </c>
      <c r="H412" t="s">
        <v>226</v>
      </c>
      <c r="I412" t="s">
        <v>85</v>
      </c>
      <c r="J412" t="s">
        <v>1</v>
      </c>
      <c r="K412" t="s">
        <v>2</v>
      </c>
      <c r="L412" t="s">
        <v>3</v>
      </c>
      <c r="M412" t="s">
        <v>4</v>
      </c>
      <c r="N412" s="2">
        <v>6400</v>
      </c>
      <c r="O412" s="2">
        <v>6410.8739999999998</v>
      </c>
      <c r="P412" s="2">
        <v>5363.201</v>
      </c>
      <c r="Q412" t="s">
        <v>55</v>
      </c>
      <c r="R412" t="s">
        <v>23</v>
      </c>
      <c r="S412" t="s">
        <v>71</v>
      </c>
      <c r="T412" t="s">
        <v>8</v>
      </c>
    </row>
    <row r="413" spans="1:20" x14ac:dyDescent="0.25">
      <c r="A413" s="74"/>
      <c r="B413" s="74"/>
      <c r="C413" s="71"/>
      <c r="D413" s="74"/>
      <c r="E413" s="72"/>
      <c r="F413" t="s">
        <v>70</v>
      </c>
      <c r="G413" s="1">
        <v>45238</v>
      </c>
      <c r="H413" t="s">
        <v>240</v>
      </c>
      <c r="I413" t="s">
        <v>85</v>
      </c>
      <c r="J413" t="s">
        <v>1</v>
      </c>
      <c r="K413" t="s">
        <v>2</v>
      </c>
      <c r="L413" t="s">
        <v>3</v>
      </c>
      <c r="M413" t="s">
        <v>4</v>
      </c>
      <c r="N413" s="2">
        <v>12810</v>
      </c>
      <c r="O413" s="2">
        <v>12831.763999999999</v>
      </c>
      <c r="P413" s="2">
        <v>10734.781000000001</v>
      </c>
      <c r="Q413" t="s">
        <v>55</v>
      </c>
      <c r="R413" t="s">
        <v>23</v>
      </c>
      <c r="S413" t="s">
        <v>71</v>
      </c>
      <c r="T413" t="s">
        <v>8</v>
      </c>
    </row>
    <row r="414" spans="1:20" x14ac:dyDescent="0.25">
      <c r="A414" s="74">
        <f>P414+P415</f>
        <v>25981.255000000001</v>
      </c>
      <c r="B414" s="74" t="str">
        <f>'Весы 08.11.2023'!I62</f>
        <v>25780</v>
      </c>
      <c r="C414" s="70" t="str">
        <f>'Весы 08.11.2023'!K62</f>
        <v>-9</v>
      </c>
      <c r="D414" s="74">
        <f>B414-C414</f>
        <v>25789</v>
      </c>
      <c r="E414" s="72">
        <f>A414-D414</f>
        <v>192.25500000000102</v>
      </c>
      <c r="F414" t="s">
        <v>5</v>
      </c>
      <c r="G414" s="1">
        <v>45238</v>
      </c>
      <c r="H414" t="s">
        <v>213</v>
      </c>
      <c r="I414" t="s">
        <v>130</v>
      </c>
      <c r="J414" t="s">
        <v>20</v>
      </c>
      <c r="K414" t="s">
        <v>21</v>
      </c>
      <c r="L414" t="s">
        <v>3</v>
      </c>
      <c r="M414" t="s">
        <v>4</v>
      </c>
      <c r="N414" s="2">
        <v>15410</v>
      </c>
      <c r="O414" s="2">
        <v>15448.986999999999</v>
      </c>
      <c r="P414" s="2">
        <v>12975.218000000001</v>
      </c>
      <c r="Q414" t="s">
        <v>51</v>
      </c>
      <c r="R414" t="s">
        <v>6</v>
      </c>
      <c r="S414" t="s">
        <v>102</v>
      </c>
      <c r="T414" t="s">
        <v>8</v>
      </c>
    </row>
    <row r="415" spans="1:20" x14ac:dyDescent="0.25">
      <c r="A415" s="74"/>
      <c r="B415" s="74"/>
      <c r="C415" s="71"/>
      <c r="D415" s="74"/>
      <c r="E415" s="72"/>
      <c r="F415" t="s">
        <v>5</v>
      </c>
      <c r="G415" s="1">
        <v>45238</v>
      </c>
      <c r="H415" t="s">
        <v>213</v>
      </c>
      <c r="I415" t="s">
        <v>144</v>
      </c>
      <c r="J415" t="s">
        <v>1</v>
      </c>
      <c r="K415" t="s">
        <v>2</v>
      </c>
      <c r="L415" t="s">
        <v>3</v>
      </c>
      <c r="M415" t="s">
        <v>4</v>
      </c>
      <c r="N415" s="2">
        <v>15410</v>
      </c>
      <c r="O415" s="2">
        <v>15448.864</v>
      </c>
      <c r="P415" s="2">
        <v>13006.037</v>
      </c>
      <c r="Q415" t="s">
        <v>51</v>
      </c>
      <c r="R415" t="s">
        <v>6</v>
      </c>
      <c r="S415" t="s">
        <v>102</v>
      </c>
      <c r="T415" t="s">
        <v>8</v>
      </c>
    </row>
    <row r="416" spans="1:20" x14ac:dyDescent="0.25">
      <c r="A416" s="74">
        <f>P416+P417+P418</f>
        <v>26049.357</v>
      </c>
      <c r="B416" s="74" t="str">
        <f>'Весы 08.11.2023'!I66</f>
        <v>25760</v>
      </c>
      <c r="C416" s="70" t="str">
        <f>'Весы 08.11.2023'!K66</f>
        <v>-33</v>
      </c>
      <c r="D416" s="74">
        <f>B416-C416</f>
        <v>25793</v>
      </c>
      <c r="E416" s="72">
        <f>A416-D416</f>
        <v>256.35699999999997</v>
      </c>
      <c r="F416" t="s">
        <v>65</v>
      </c>
      <c r="G416" s="1">
        <v>45238</v>
      </c>
      <c r="H416" t="s">
        <v>259</v>
      </c>
      <c r="I416" t="s">
        <v>153</v>
      </c>
      <c r="J416" t="s">
        <v>11</v>
      </c>
      <c r="K416" t="s">
        <v>12</v>
      </c>
      <c r="L416" t="s">
        <v>3</v>
      </c>
      <c r="M416" t="s">
        <v>4</v>
      </c>
      <c r="N416" s="2">
        <v>11080</v>
      </c>
      <c r="O416" s="2">
        <v>11133.062</v>
      </c>
      <c r="P416" s="2">
        <v>8359.8590000000004</v>
      </c>
      <c r="Q416" t="s">
        <v>73</v>
      </c>
      <c r="R416" t="s">
        <v>6</v>
      </c>
      <c r="S416" t="s">
        <v>260</v>
      </c>
      <c r="T416" t="s">
        <v>8</v>
      </c>
    </row>
    <row r="417" spans="1:20" x14ac:dyDescent="0.25">
      <c r="A417" s="74"/>
      <c r="B417" s="74"/>
      <c r="C417" s="71"/>
      <c r="D417" s="74"/>
      <c r="E417" s="72"/>
      <c r="F417" t="s">
        <v>65</v>
      </c>
      <c r="G417" s="1">
        <v>45238</v>
      </c>
      <c r="H417" t="s">
        <v>259</v>
      </c>
      <c r="I417" t="s">
        <v>155</v>
      </c>
      <c r="J417" t="s">
        <v>1</v>
      </c>
      <c r="K417" t="s">
        <v>2</v>
      </c>
      <c r="L417" t="s">
        <v>3</v>
      </c>
      <c r="M417" t="s">
        <v>4</v>
      </c>
      <c r="N417" s="2">
        <v>13975</v>
      </c>
      <c r="O417" s="2">
        <v>14010.272999999999</v>
      </c>
      <c r="P417" s="2">
        <v>11787.91</v>
      </c>
      <c r="Q417" t="s">
        <v>51</v>
      </c>
      <c r="R417" t="s">
        <v>6</v>
      </c>
      <c r="S417" t="s">
        <v>260</v>
      </c>
      <c r="T417" t="s">
        <v>8</v>
      </c>
    </row>
    <row r="418" spans="1:20" x14ac:dyDescent="0.25">
      <c r="A418" s="74"/>
      <c r="B418" s="74"/>
      <c r="C418" s="71"/>
      <c r="D418" s="74"/>
      <c r="E418" s="72"/>
      <c r="F418" t="s">
        <v>65</v>
      </c>
      <c r="G418" s="1">
        <v>45238</v>
      </c>
      <c r="H418" t="s">
        <v>259</v>
      </c>
      <c r="I418" t="s">
        <v>154</v>
      </c>
      <c r="J418" t="s">
        <v>20</v>
      </c>
      <c r="K418" t="s">
        <v>21</v>
      </c>
      <c r="L418" t="s">
        <v>3</v>
      </c>
      <c r="M418" t="s">
        <v>4</v>
      </c>
      <c r="N418" s="2">
        <v>6980</v>
      </c>
      <c r="O418" s="2">
        <v>6997.5619999999999</v>
      </c>
      <c r="P418" s="2">
        <v>5901.5879999999997</v>
      </c>
      <c r="Q418" t="s">
        <v>51</v>
      </c>
      <c r="R418" t="s">
        <v>6</v>
      </c>
      <c r="S418" t="s">
        <v>260</v>
      </c>
      <c r="T418" t="s">
        <v>8</v>
      </c>
    </row>
    <row r="419" spans="1:20" x14ac:dyDescent="0.25">
      <c r="A419" s="74">
        <f>P419+P420+P421</f>
        <v>26041.044999999998</v>
      </c>
      <c r="B419" s="74" t="str">
        <f>'Весы 08.11.2023'!I59</f>
        <v>25750</v>
      </c>
      <c r="C419" s="70" t="str">
        <f>'Весы 08.11.2023'!K59</f>
        <v>-32</v>
      </c>
      <c r="D419" s="74">
        <f>B419-C419</f>
        <v>25782</v>
      </c>
      <c r="E419" s="72">
        <f>A419-D419</f>
        <v>259.04499999999825</v>
      </c>
      <c r="F419" t="s">
        <v>40</v>
      </c>
      <c r="G419" s="1">
        <v>45238</v>
      </c>
      <c r="H419" t="s">
        <v>204</v>
      </c>
      <c r="I419" t="s">
        <v>127</v>
      </c>
      <c r="J419" t="s">
        <v>11</v>
      </c>
      <c r="K419" t="s">
        <v>12</v>
      </c>
      <c r="L419" t="s">
        <v>3</v>
      </c>
      <c r="M419" t="s">
        <v>4</v>
      </c>
      <c r="N419" s="2">
        <v>6290</v>
      </c>
      <c r="O419" s="2">
        <v>6320.1540000000005</v>
      </c>
      <c r="P419" s="2">
        <v>4742.66</v>
      </c>
      <c r="Q419" t="s">
        <v>73</v>
      </c>
      <c r="R419" t="s">
        <v>6</v>
      </c>
      <c r="S419" t="s">
        <v>41</v>
      </c>
      <c r="T419" t="s">
        <v>8</v>
      </c>
    </row>
    <row r="420" spans="1:20" x14ac:dyDescent="0.25">
      <c r="A420" s="74"/>
      <c r="B420" s="74"/>
      <c r="C420" s="71"/>
      <c r="D420" s="74"/>
      <c r="E420" s="72"/>
      <c r="F420" t="s">
        <v>40</v>
      </c>
      <c r="G420" s="1">
        <v>45238</v>
      </c>
      <c r="H420" t="s">
        <v>204</v>
      </c>
      <c r="I420" t="s">
        <v>168</v>
      </c>
      <c r="J420" t="s">
        <v>20</v>
      </c>
      <c r="K420" t="s">
        <v>21</v>
      </c>
      <c r="L420" t="s">
        <v>3</v>
      </c>
      <c r="M420" t="s">
        <v>4</v>
      </c>
      <c r="N420" s="2">
        <v>6320</v>
      </c>
      <c r="O420" s="2">
        <v>6335.9139999999998</v>
      </c>
      <c r="P420" s="2">
        <v>5340.3980000000001</v>
      </c>
      <c r="Q420" t="s">
        <v>51</v>
      </c>
      <c r="R420" t="s">
        <v>6</v>
      </c>
      <c r="S420" t="s">
        <v>41</v>
      </c>
      <c r="T420" t="s">
        <v>8</v>
      </c>
    </row>
    <row r="421" spans="1:20" x14ac:dyDescent="0.25">
      <c r="A421" s="74"/>
      <c r="B421" s="74"/>
      <c r="C421" s="71"/>
      <c r="D421" s="74"/>
      <c r="E421" s="72"/>
      <c r="F421" t="s">
        <v>40</v>
      </c>
      <c r="G421" s="1">
        <v>45238</v>
      </c>
      <c r="H421" t="s">
        <v>204</v>
      </c>
      <c r="I421" t="s">
        <v>133</v>
      </c>
      <c r="J421" t="s">
        <v>1</v>
      </c>
      <c r="K421" t="s">
        <v>2</v>
      </c>
      <c r="L421" t="s">
        <v>3</v>
      </c>
      <c r="M421" t="s">
        <v>4</v>
      </c>
      <c r="N421" s="2">
        <v>18930</v>
      </c>
      <c r="O421" s="2">
        <v>18977.816999999999</v>
      </c>
      <c r="P421" s="2">
        <v>15957.986999999999</v>
      </c>
      <c r="Q421" t="s">
        <v>51</v>
      </c>
      <c r="R421" t="s">
        <v>6</v>
      </c>
      <c r="S421" t="s">
        <v>41</v>
      </c>
      <c r="T421" t="s">
        <v>8</v>
      </c>
    </row>
    <row r="422" spans="1:20" x14ac:dyDescent="0.25">
      <c r="A422" s="74">
        <f>P422+P423+P424</f>
        <v>25127.095000000001</v>
      </c>
      <c r="B422" s="74" t="str">
        <f>'Весы 08.11.2023'!I60</f>
        <v>24840</v>
      </c>
      <c r="C422" s="70" t="str">
        <f>'Весы 08.11.2023'!K60</f>
        <v>-35</v>
      </c>
      <c r="D422" s="74">
        <f>B422-C422</f>
        <v>24875</v>
      </c>
      <c r="E422" s="72">
        <f>A422-D422</f>
        <v>252.09500000000116</v>
      </c>
      <c r="F422" t="s">
        <v>44</v>
      </c>
      <c r="G422" s="1">
        <v>45238</v>
      </c>
      <c r="H422" t="s">
        <v>258</v>
      </c>
      <c r="I422" t="s">
        <v>93</v>
      </c>
      <c r="J422" t="s">
        <v>11</v>
      </c>
      <c r="K422" t="s">
        <v>12</v>
      </c>
      <c r="L422" t="s">
        <v>3</v>
      </c>
      <c r="M422" t="s">
        <v>4</v>
      </c>
      <c r="N422" s="2">
        <v>11900</v>
      </c>
      <c r="O422" s="2">
        <v>11928.501</v>
      </c>
      <c r="P422" s="2">
        <v>8960.7009999999991</v>
      </c>
      <c r="Q422" t="s">
        <v>55</v>
      </c>
      <c r="R422" t="s">
        <v>6</v>
      </c>
      <c r="S422" t="s">
        <v>45</v>
      </c>
      <c r="T422" t="s">
        <v>8</v>
      </c>
    </row>
    <row r="423" spans="1:20" x14ac:dyDescent="0.25">
      <c r="A423" s="74"/>
      <c r="B423" s="74"/>
      <c r="C423" s="71"/>
      <c r="D423" s="74"/>
      <c r="E423" s="72"/>
      <c r="F423" t="s">
        <v>44</v>
      </c>
      <c r="G423" s="1">
        <v>45238</v>
      </c>
      <c r="H423" t="s">
        <v>258</v>
      </c>
      <c r="I423" t="s">
        <v>130</v>
      </c>
      <c r="J423" t="s">
        <v>1</v>
      </c>
      <c r="K423" t="s">
        <v>2</v>
      </c>
      <c r="L423" t="s">
        <v>3</v>
      </c>
      <c r="M423" t="s">
        <v>4</v>
      </c>
      <c r="N423" s="2">
        <v>9500</v>
      </c>
      <c r="O423" s="2">
        <v>9516.0069999999996</v>
      </c>
      <c r="P423" s="2">
        <v>7998.9970000000003</v>
      </c>
      <c r="Q423" t="s">
        <v>55</v>
      </c>
      <c r="R423" t="s">
        <v>6</v>
      </c>
      <c r="S423" t="s">
        <v>45</v>
      </c>
      <c r="T423" t="s">
        <v>8</v>
      </c>
    </row>
    <row r="424" spans="1:20" x14ac:dyDescent="0.25">
      <c r="A424" s="74"/>
      <c r="B424" s="74"/>
      <c r="C424" s="71"/>
      <c r="D424" s="74"/>
      <c r="E424" s="72"/>
      <c r="F424" t="s">
        <v>44</v>
      </c>
      <c r="G424" s="1">
        <v>45238</v>
      </c>
      <c r="H424" t="s">
        <v>215</v>
      </c>
      <c r="I424" t="s">
        <v>130</v>
      </c>
      <c r="J424" t="s">
        <v>1</v>
      </c>
      <c r="K424" t="s">
        <v>2</v>
      </c>
      <c r="L424" t="s">
        <v>3</v>
      </c>
      <c r="M424" t="s">
        <v>4</v>
      </c>
      <c r="N424" s="2">
        <v>9700</v>
      </c>
      <c r="O424" s="2">
        <v>9716.3449999999993</v>
      </c>
      <c r="P424" s="2">
        <v>8167.3969999999999</v>
      </c>
      <c r="Q424" t="s">
        <v>55</v>
      </c>
      <c r="R424" t="s">
        <v>6</v>
      </c>
      <c r="S424" t="s">
        <v>45</v>
      </c>
      <c r="T424" t="s">
        <v>8</v>
      </c>
    </row>
    <row r="425" spans="1:20" x14ac:dyDescent="0.25">
      <c r="A425" s="74">
        <f>P425+P426+P427</f>
        <v>25061.207999999999</v>
      </c>
      <c r="B425" s="74" t="str">
        <f>'Весы 08.11.2023'!I73</f>
        <v>24890</v>
      </c>
      <c r="C425" s="70" t="str">
        <f>'Весы 08.11.2023'!K73</f>
        <v>-34</v>
      </c>
      <c r="D425" s="74">
        <f>B425-C425</f>
        <v>24924</v>
      </c>
      <c r="E425" s="72">
        <f>A425-D425</f>
        <v>137.20799999999872</v>
      </c>
      <c r="F425" t="s">
        <v>18</v>
      </c>
      <c r="G425" s="1">
        <v>45238</v>
      </c>
      <c r="H425" t="s">
        <v>178</v>
      </c>
      <c r="I425" t="s">
        <v>64</v>
      </c>
      <c r="J425" t="s">
        <v>11</v>
      </c>
      <c r="K425" t="s">
        <v>12</v>
      </c>
      <c r="L425" t="s">
        <v>3</v>
      </c>
      <c r="M425" t="s">
        <v>4</v>
      </c>
      <c r="N425" s="2">
        <v>7665</v>
      </c>
      <c r="O425" s="2">
        <v>7683.58</v>
      </c>
      <c r="P425" s="2">
        <v>5725.7539999999999</v>
      </c>
      <c r="Q425" t="s">
        <v>55</v>
      </c>
      <c r="R425" t="s">
        <v>6</v>
      </c>
      <c r="S425" t="s">
        <v>19</v>
      </c>
      <c r="T425" t="s">
        <v>8</v>
      </c>
    </row>
    <row r="426" spans="1:20" x14ac:dyDescent="0.25">
      <c r="A426" s="74"/>
      <c r="B426" s="74"/>
      <c r="C426" s="71"/>
      <c r="D426" s="74"/>
      <c r="E426" s="72"/>
      <c r="F426" t="s">
        <v>18</v>
      </c>
      <c r="G426" s="1">
        <v>45238</v>
      </c>
      <c r="H426" t="s">
        <v>178</v>
      </c>
      <c r="I426" t="s">
        <v>94</v>
      </c>
      <c r="J426" t="s">
        <v>20</v>
      </c>
      <c r="K426" t="s">
        <v>21</v>
      </c>
      <c r="L426" t="s">
        <v>3</v>
      </c>
      <c r="M426" t="s">
        <v>4</v>
      </c>
      <c r="N426" s="2">
        <v>7680</v>
      </c>
      <c r="O426" s="2">
        <v>7686.49</v>
      </c>
      <c r="P426" s="2">
        <v>6451.2030000000004</v>
      </c>
      <c r="Q426" t="s">
        <v>49</v>
      </c>
      <c r="R426" t="s">
        <v>6</v>
      </c>
      <c r="S426" t="s">
        <v>19</v>
      </c>
      <c r="T426" t="s">
        <v>8</v>
      </c>
    </row>
    <row r="427" spans="1:20" x14ac:dyDescent="0.25">
      <c r="A427" s="74"/>
      <c r="B427" s="74"/>
      <c r="C427" s="71"/>
      <c r="D427" s="74"/>
      <c r="E427" s="72"/>
      <c r="F427" t="s">
        <v>18</v>
      </c>
      <c r="G427" s="1">
        <v>45238</v>
      </c>
      <c r="H427" t="s">
        <v>178</v>
      </c>
      <c r="I427" t="s">
        <v>85</v>
      </c>
      <c r="J427" t="s">
        <v>1</v>
      </c>
      <c r="K427" t="s">
        <v>2</v>
      </c>
      <c r="L427" t="s">
        <v>3</v>
      </c>
      <c r="M427" t="s">
        <v>4</v>
      </c>
      <c r="N427" s="2">
        <v>15375</v>
      </c>
      <c r="O427" s="2">
        <v>15401.121999999999</v>
      </c>
      <c r="P427" s="2">
        <v>12884.251</v>
      </c>
      <c r="Q427" t="s">
        <v>55</v>
      </c>
      <c r="R427" t="s">
        <v>6</v>
      </c>
      <c r="S427" t="s">
        <v>19</v>
      </c>
      <c r="T427" t="s">
        <v>8</v>
      </c>
    </row>
    <row r="428" spans="1:20" x14ac:dyDescent="0.25">
      <c r="A428" s="74">
        <f>P428+P429+P430</f>
        <v>27377.243999999999</v>
      </c>
      <c r="B428" s="74" t="str">
        <f>'Весы 08.11.2023'!I67</f>
        <v>27080</v>
      </c>
      <c r="C428" s="70" t="str">
        <f>'Весы 08.11.2023'!K67</f>
        <v>-38</v>
      </c>
      <c r="D428" s="74">
        <f>B428-C428</f>
        <v>27118</v>
      </c>
      <c r="E428" s="72">
        <f>A428-D428</f>
        <v>259.24399999999878</v>
      </c>
      <c r="F428" t="s">
        <v>32</v>
      </c>
      <c r="G428" s="1">
        <v>45238</v>
      </c>
      <c r="H428" t="s">
        <v>152</v>
      </c>
      <c r="I428" t="s">
        <v>153</v>
      </c>
      <c r="J428" t="s">
        <v>11</v>
      </c>
      <c r="K428" t="s">
        <v>12</v>
      </c>
      <c r="L428" t="s">
        <v>3</v>
      </c>
      <c r="M428" t="s">
        <v>4</v>
      </c>
      <c r="N428" s="2">
        <v>10000</v>
      </c>
      <c r="O428" s="2">
        <v>10047.89</v>
      </c>
      <c r="P428" s="2">
        <v>7544.9989999999998</v>
      </c>
      <c r="Q428" t="s">
        <v>73</v>
      </c>
      <c r="R428" t="s">
        <v>23</v>
      </c>
      <c r="S428" t="s">
        <v>34</v>
      </c>
      <c r="T428" t="s">
        <v>8</v>
      </c>
    </row>
    <row r="429" spans="1:20" x14ac:dyDescent="0.25">
      <c r="A429" s="74"/>
      <c r="B429" s="74"/>
      <c r="C429" s="71"/>
      <c r="D429" s="74"/>
      <c r="E429" s="72"/>
      <c r="F429" t="s">
        <v>32</v>
      </c>
      <c r="G429" s="1">
        <v>45238</v>
      </c>
      <c r="H429" t="s">
        <v>152</v>
      </c>
      <c r="I429" t="s">
        <v>154</v>
      </c>
      <c r="J429" t="s">
        <v>20</v>
      </c>
      <c r="K429" t="s">
        <v>21</v>
      </c>
      <c r="L429" t="s">
        <v>3</v>
      </c>
      <c r="M429" t="s">
        <v>4</v>
      </c>
      <c r="N429" s="2">
        <v>5000</v>
      </c>
      <c r="O429" s="2">
        <v>5012.58</v>
      </c>
      <c r="P429" s="2">
        <v>4227.4979999999996</v>
      </c>
      <c r="Q429" t="s">
        <v>51</v>
      </c>
      <c r="R429" t="s">
        <v>23</v>
      </c>
      <c r="S429" t="s">
        <v>34</v>
      </c>
      <c r="T429" t="s">
        <v>8</v>
      </c>
    </row>
    <row r="430" spans="1:20" x14ac:dyDescent="0.25">
      <c r="A430" s="74"/>
      <c r="B430" s="74"/>
      <c r="C430" s="71"/>
      <c r="D430" s="74"/>
      <c r="E430" s="72"/>
      <c r="F430" t="s">
        <v>32</v>
      </c>
      <c r="G430" s="1">
        <v>45238</v>
      </c>
      <c r="H430" t="s">
        <v>152</v>
      </c>
      <c r="I430" t="s">
        <v>155</v>
      </c>
      <c r="J430" t="s">
        <v>1</v>
      </c>
      <c r="K430" t="s">
        <v>2</v>
      </c>
      <c r="L430" t="s">
        <v>3</v>
      </c>
      <c r="M430" t="s">
        <v>4</v>
      </c>
      <c r="N430" s="2">
        <v>18500</v>
      </c>
      <c r="O430" s="2">
        <v>18546.694</v>
      </c>
      <c r="P430" s="2">
        <v>15604.746999999999</v>
      </c>
      <c r="Q430" t="s">
        <v>51</v>
      </c>
      <c r="R430" t="s">
        <v>23</v>
      </c>
      <c r="S430" t="s">
        <v>34</v>
      </c>
      <c r="T430" t="s">
        <v>8</v>
      </c>
    </row>
    <row r="431" spans="1:20" x14ac:dyDescent="0.25">
      <c r="A431" s="74">
        <f>P431+P432+P433</f>
        <v>26102.441999999999</v>
      </c>
      <c r="B431" s="74" t="str">
        <f>'Весы 08.11.2023'!I70</f>
        <v>25840</v>
      </c>
      <c r="C431" s="70" t="str">
        <f>'Весы 08.11.2023'!K70</f>
        <v>-22</v>
      </c>
      <c r="D431" s="74">
        <f>B431-C431</f>
        <v>25862</v>
      </c>
      <c r="E431" s="72">
        <f>A431-D431</f>
        <v>240.4419999999991</v>
      </c>
      <c r="F431" t="s">
        <v>58</v>
      </c>
      <c r="G431" s="1">
        <v>45238</v>
      </c>
      <c r="H431" t="s">
        <v>195</v>
      </c>
      <c r="I431" t="s">
        <v>168</v>
      </c>
      <c r="J431" t="s">
        <v>20</v>
      </c>
      <c r="K431" t="s">
        <v>21</v>
      </c>
      <c r="L431" t="s">
        <v>3</v>
      </c>
      <c r="M431" t="s">
        <v>4</v>
      </c>
      <c r="N431" s="2">
        <v>10010</v>
      </c>
      <c r="O431" s="2">
        <v>10035.205</v>
      </c>
      <c r="P431" s="2">
        <v>8458.4470000000001</v>
      </c>
      <c r="Q431" t="s">
        <v>51</v>
      </c>
      <c r="R431" t="s">
        <v>23</v>
      </c>
      <c r="S431" t="s">
        <v>59</v>
      </c>
      <c r="T431" t="s">
        <v>8</v>
      </c>
    </row>
    <row r="432" spans="1:20" x14ac:dyDescent="0.25">
      <c r="A432" s="74"/>
      <c r="B432" s="74"/>
      <c r="C432" s="71"/>
      <c r="D432" s="74"/>
      <c r="E432" s="72"/>
      <c r="F432" t="s">
        <v>58</v>
      </c>
      <c r="G432" s="1">
        <v>45238</v>
      </c>
      <c r="H432" t="s">
        <v>195</v>
      </c>
      <c r="I432" t="s">
        <v>130</v>
      </c>
      <c r="J432" t="s">
        <v>1</v>
      </c>
      <c r="K432" t="s">
        <v>2</v>
      </c>
      <c r="L432" t="s">
        <v>3</v>
      </c>
      <c r="M432" t="s">
        <v>4</v>
      </c>
      <c r="N432" s="2">
        <v>12000</v>
      </c>
      <c r="O432" s="2">
        <v>12020.22</v>
      </c>
      <c r="P432" s="2">
        <v>10103.996999999999</v>
      </c>
      <c r="Q432" t="s">
        <v>55</v>
      </c>
      <c r="R432" t="s">
        <v>23</v>
      </c>
      <c r="S432" t="s">
        <v>59</v>
      </c>
      <c r="T432" t="s">
        <v>8</v>
      </c>
    </row>
    <row r="433" spans="1:20" x14ac:dyDescent="0.25">
      <c r="A433" s="74"/>
      <c r="B433" s="74"/>
      <c r="C433" s="71"/>
      <c r="D433" s="74"/>
      <c r="E433" s="72"/>
      <c r="F433" t="s">
        <v>58</v>
      </c>
      <c r="G433" s="1">
        <v>45238</v>
      </c>
      <c r="H433" t="s">
        <v>195</v>
      </c>
      <c r="I433" t="s">
        <v>127</v>
      </c>
      <c r="J433" t="s">
        <v>11</v>
      </c>
      <c r="K433" t="s">
        <v>12</v>
      </c>
      <c r="L433" t="s">
        <v>3</v>
      </c>
      <c r="M433" t="s">
        <v>4</v>
      </c>
      <c r="N433" s="2">
        <v>10000</v>
      </c>
      <c r="O433" s="2">
        <v>10035.9</v>
      </c>
      <c r="P433" s="2">
        <v>7539.9979999999996</v>
      </c>
      <c r="Q433" t="s">
        <v>51</v>
      </c>
      <c r="R433" t="s">
        <v>23</v>
      </c>
      <c r="S433" t="s">
        <v>59</v>
      </c>
      <c r="T433" t="s">
        <v>8</v>
      </c>
    </row>
    <row r="434" spans="1:20" x14ac:dyDescent="0.25">
      <c r="A434" s="74">
        <f>P434+P435+P436</f>
        <v>26867.001</v>
      </c>
      <c r="B434" s="74" t="str">
        <f>'Весы 08.11.2023'!I57</f>
        <v>26520</v>
      </c>
      <c r="C434" s="70" t="str">
        <f>'Весы 08.11.2023'!K57</f>
        <v>-37</v>
      </c>
      <c r="D434" s="74">
        <f>B434-C434</f>
        <v>26557</v>
      </c>
      <c r="E434" s="72">
        <f>A434-D434</f>
        <v>310.0010000000002</v>
      </c>
      <c r="F434" t="s">
        <v>28</v>
      </c>
      <c r="G434" s="1">
        <v>45238</v>
      </c>
      <c r="H434" t="s">
        <v>191</v>
      </c>
      <c r="I434" t="s">
        <v>120</v>
      </c>
      <c r="J434" t="s">
        <v>11</v>
      </c>
      <c r="K434" t="s">
        <v>12</v>
      </c>
      <c r="L434" t="s">
        <v>3</v>
      </c>
      <c r="M434" t="s">
        <v>4</v>
      </c>
      <c r="N434" s="2">
        <v>11000</v>
      </c>
      <c r="O434" s="2">
        <v>11065.879000000001</v>
      </c>
      <c r="P434" s="2">
        <v>8305</v>
      </c>
      <c r="Q434" t="s">
        <v>75</v>
      </c>
      <c r="R434" t="s">
        <v>23</v>
      </c>
      <c r="S434" t="s">
        <v>29</v>
      </c>
      <c r="T434" t="s">
        <v>8</v>
      </c>
    </row>
    <row r="435" spans="1:20" x14ac:dyDescent="0.25">
      <c r="A435" s="74"/>
      <c r="B435" s="74"/>
      <c r="C435" s="71"/>
      <c r="D435" s="74"/>
      <c r="E435" s="72"/>
      <c r="F435" t="s">
        <v>28</v>
      </c>
      <c r="G435" s="1">
        <v>45238</v>
      </c>
      <c r="H435" t="s">
        <v>191</v>
      </c>
      <c r="I435" t="s">
        <v>168</v>
      </c>
      <c r="J435" t="s">
        <v>20</v>
      </c>
      <c r="K435" t="s">
        <v>21</v>
      </c>
      <c r="L435" t="s">
        <v>3</v>
      </c>
      <c r="M435" t="s">
        <v>4</v>
      </c>
      <c r="N435" s="2">
        <v>8000</v>
      </c>
      <c r="O435" s="2">
        <v>8013.4160000000002</v>
      </c>
      <c r="P435" s="2">
        <v>6759.9970000000003</v>
      </c>
      <c r="Q435" t="s">
        <v>55</v>
      </c>
      <c r="R435" t="s">
        <v>23</v>
      </c>
      <c r="S435" t="s">
        <v>29</v>
      </c>
      <c r="T435" t="s">
        <v>8</v>
      </c>
    </row>
    <row r="436" spans="1:20" x14ac:dyDescent="0.25">
      <c r="A436" s="74"/>
      <c r="B436" s="74"/>
      <c r="C436" s="71"/>
      <c r="D436" s="74"/>
      <c r="E436" s="72"/>
      <c r="F436" t="s">
        <v>28</v>
      </c>
      <c r="G436" s="1">
        <v>45238</v>
      </c>
      <c r="H436" t="s">
        <v>191</v>
      </c>
      <c r="I436" t="s">
        <v>133</v>
      </c>
      <c r="J436" t="s">
        <v>1</v>
      </c>
      <c r="K436" t="s">
        <v>2</v>
      </c>
      <c r="L436" t="s">
        <v>3</v>
      </c>
      <c r="M436" t="s">
        <v>4</v>
      </c>
      <c r="N436" s="2">
        <v>14000</v>
      </c>
      <c r="O436" s="2">
        <v>14023.562</v>
      </c>
      <c r="P436" s="2">
        <v>11802.004000000001</v>
      </c>
      <c r="Q436" t="s">
        <v>55</v>
      </c>
      <c r="R436" t="s">
        <v>23</v>
      </c>
      <c r="S436" t="s">
        <v>29</v>
      </c>
      <c r="T436" t="s">
        <v>8</v>
      </c>
    </row>
    <row r="437" spans="1:20" x14ac:dyDescent="0.25">
      <c r="A437" s="74">
        <f>P437+P438+P439</f>
        <v>24980.645</v>
      </c>
      <c r="B437" s="74" t="str">
        <f>'Весы 08.11.2023'!I72</f>
        <v>24780</v>
      </c>
      <c r="C437" s="70" t="str">
        <f>'Весы 08.11.2023'!K72</f>
        <v>-35</v>
      </c>
      <c r="D437" s="74">
        <f>B437-C437</f>
        <v>24815</v>
      </c>
      <c r="E437" s="72">
        <f>A437-D437</f>
        <v>165.64500000000044</v>
      </c>
      <c r="F437" t="s">
        <v>107</v>
      </c>
      <c r="G437" s="1">
        <v>45238</v>
      </c>
      <c r="H437" t="s">
        <v>181</v>
      </c>
      <c r="I437" t="s">
        <v>54</v>
      </c>
      <c r="J437" t="s">
        <v>11</v>
      </c>
      <c r="K437" t="s">
        <v>12</v>
      </c>
      <c r="L437" t="s">
        <v>3</v>
      </c>
      <c r="M437" t="s">
        <v>4</v>
      </c>
      <c r="N437" s="2">
        <v>10100</v>
      </c>
      <c r="O437" s="2">
        <v>10136.815000000001</v>
      </c>
      <c r="P437" s="2">
        <v>7539.6480000000001</v>
      </c>
      <c r="Q437" t="s">
        <v>51</v>
      </c>
      <c r="R437" t="s">
        <v>23</v>
      </c>
      <c r="S437" t="s">
        <v>108</v>
      </c>
      <c r="T437" t="s">
        <v>8</v>
      </c>
    </row>
    <row r="438" spans="1:20" x14ac:dyDescent="0.25">
      <c r="A438" s="74"/>
      <c r="B438" s="74"/>
      <c r="C438" s="71"/>
      <c r="D438" s="74"/>
      <c r="E438" s="72"/>
      <c r="F438" t="s">
        <v>107</v>
      </c>
      <c r="G438" s="1">
        <v>45238</v>
      </c>
      <c r="H438" t="s">
        <v>181</v>
      </c>
      <c r="I438" t="s">
        <v>94</v>
      </c>
      <c r="J438" t="s">
        <v>20</v>
      </c>
      <c r="K438" t="s">
        <v>21</v>
      </c>
      <c r="L438" t="s">
        <v>3</v>
      </c>
      <c r="M438" t="s">
        <v>4</v>
      </c>
      <c r="N438" s="2">
        <v>5300</v>
      </c>
      <c r="O438" s="2">
        <v>5300</v>
      </c>
      <c r="P438" s="2">
        <v>4452</v>
      </c>
      <c r="Q438" t="s">
        <v>39</v>
      </c>
      <c r="R438" t="s">
        <v>23</v>
      </c>
      <c r="S438" t="s">
        <v>108</v>
      </c>
      <c r="T438" t="s">
        <v>8</v>
      </c>
    </row>
    <row r="439" spans="1:20" x14ac:dyDescent="0.25">
      <c r="A439" s="74"/>
      <c r="B439" s="74"/>
      <c r="C439" s="71"/>
      <c r="D439" s="74"/>
      <c r="E439" s="72"/>
      <c r="F439" t="s">
        <v>107</v>
      </c>
      <c r="G439" s="1">
        <v>45238</v>
      </c>
      <c r="H439" t="s">
        <v>181</v>
      </c>
      <c r="I439" t="s">
        <v>85</v>
      </c>
      <c r="J439" t="s">
        <v>1</v>
      </c>
      <c r="K439" t="s">
        <v>2</v>
      </c>
      <c r="L439" t="s">
        <v>3</v>
      </c>
      <c r="M439" t="s">
        <v>4</v>
      </c>
      <c r="N439" s="2">
        <v>15500</v>
      </c>
      <c r="O439" s="2">
        <v>15513.144</v>
      </c>
      <c r="P439" s="2">
        <v>12988.996999999999</v>
      </c>
      <c r="Q439" t="s">
        <v>49</v>
      </c>
      <c r="R439" t="s">
        <v>23</v>
      </c>
      <c r="S439" t="s">
        <v>108</v>
      </c>
      <c r="T439" t="s">
        <v>8</v>
      </c>
    </row>
    <row r="440" spans="1:20" x14ac:dyDescent="0.25">
      <c r="A440" s="74">
        <f>P440+P441</f>
        <v>27003.997000000003</v>
      </c>
      <c r="B440" s="74" t="str">
        <f>'Весы 08.11.2023'!I71</f>
        <v>26840</v>
      </c>
      <c r="C440" s="70" t="str">
        <f>'Весы 08.11.2023'!K71</f>
        <v>-35</v>
      </c>
      <c r="D440" s="74">
        <f>B440-C440</f>
        <v>26875</v>
      </c>
      <c r="E440" s="72">
        <f>A440-D440</f>
        <v>128.99700000000303</v>
      </c>
      <c r="F440" t="s">
        <v>46</v>
      </c>
      <c r="G440" s="1">
        <v>45238</v>
      </c>
      <c r="H440" t="s">
        <v>159</v>
      </c>
      <c r="I440" t="s">
        <v>95</v>
      </c>
      <c r="J440" t="s">
        <v>1</v>
      </c>
      <c r="K440" t="s">
        <v>2</v>
      </c>
      <c r="L440" t="s">
        <v>3</v>
      </c>
      <c r="M440" t="s">
        <v>4</v>
      </c>
      <c r="N440" s="2">
        <v>19260</v>
      </c>
      <c r="O440" s="2">
        <v>19292.8</v>
      </c>
      <c r="P440" s="2">
        <v>16120.62</v>
      </c>
      <c r="Q440" t="s">
        <v>55</v>
      </c>
      <c r="R440" t="s">
        <v>23</v>
      </c>
      <c r="S440" t="s">
        <v>47</v>
      </c>
      <c r="T440" t="s">
        <v>8</v>
      </c>
    </row>
    <row r="441" spans="1:20" x14ac:dyDescent="0.25">
      <c r="A441" s="74"/>
      <c r="B441" s="74"/>
      <c r="C441" s="71"/>
      <c r="D441" s="74"/>
      <c r="E441" s="72"/>
      <c r="F441" t="s">
        <v>46</v>
      </c>
      <c r="G441" s="1">
        <v>45238</v>
      </c>
      <c r="H441" t="s">
        <v>159</v>
      </c>
      <c r="I441" t="s">
        <v>144</v>
      </c>
      <c r="J441" t="s">
        <v>124</v>
      </c>
      <c r="K441" t="s">
        <v>125</v>
      </c>
      <c r="L441" t="s">
        <v>3</v>
      </c>
      <c r="M441" t="s">
        <v>4</v>
      </c>
      <c r="N441" s="2">
        <v>12895</v>
      </c>
      <c r="O441" s="2">
        <v>12927.521000000001</v>
      </c>
      <c r="P441" s="2">
        <v>10883.377</v>
      </c>
      <c r="Q441" t="s">
        <v>51</v>
      </c>
      <c r="R441" t="s">
        <v>23</v>
      </c>
      <c r="S441" t="s">
        <v>47</v>
      </c>
      <c r="T441" t="s">
        <v>8</v>
      </c>
    </row>
    <row r="442" spans="1:20" x14ac:dyDescent="0.25">
      <c r="A442" s="74">
        <f>P442</f>
        <v>12549.050999999999</v>
      </c>
      <c r="B442" s="74" t="str">
        <f>'Весы 08.11.2023'!I75</f>
        <v>27950</v>
      </c>
      <c r="C442" s="70" t="str">
        <f>'Весы 08.11.2023'!K75</f>
        <v>-18</v>
      </c>
      <c r="D442" s="74">
        <f>B442-C442</f>
        <v>27968</v>
      </c>
      <c r="E442" s="161">
        <f>A442-D442</f>
        <v>-15418.949000000001</v>
      </c>
      <c r="F442" t="s">
        <v>78</v>
      </c>
      <c r="G442" s="1">
        <v>45238</v>
      </c>
      <c r="H442" t="s">
        <v>202</v>
      </c>
      <c r="I442" t="s">
        <v>85</v>
      </c>
      <c r="J442" t="s">
        <v>1</v>
      </c>
      <c r="K442" t="s">
        <v>2</v>
      </c>
      <c r="L442" t="s">
        <v>3</v>
      </c>
      <c r="M442" t="s">
        <v>4</v>
      </c>
      <c r="N442" s="2">
        <v>14975</v>
      </c>
      <c r="O442" s="2">
        <v>15000.442999999999</v>
      </c>
      <c r="P442" s="2">
        <v>12549.050999999999</v>
      </c>
      <c r="Q442" t="s">
        <v>55</v>
      </c>
      <c r="R442" t="s">
        <v>23</v>
      </c>
      <c r="S442" t="s">
        <v>79</v>
      </c>
      <c r="T442" t="s">
        <v>8</v>
      </c>
    </row>
    <row r="443" spans="1:20" x14ac:dyDescent="0.25">
      <c r="A443" s="74"/>
      <c r="B443" s="74"/>
      <c r="C443" s="70"/>
      <c r="D443" s="74"/>
      <c r="E443" s="162"/>
      <c r="F443" t="s">
        <v>78</v>
      </c>
      <c r="G443" s="1">
        <v>45238</v>
      </c>
      <c r="H443" t="s">
        <v>173</v>
      </c>
      <c r="I443" t="s">
        <v>94</v>
      </c>
      <c r="J443" t="s">
        <v>20</v>
      </c>
      <c r="K443" t="s">
        <v>21</v>
      </c>
      <c r="L443" t="s">
        <v>3</v>
      </c>
      <c r="M443" t="s">
        <v>4</v>
      </c>
      <c r="N443" s="2">
        <v>18500</v>
      </c>
      <c r="O443" s="2">
        <v>18531.282999999999</v>
      </c>
      <c r="P443" s="2">
        <v>15540.003000000001</v>
      </c>
      <c r="Q443" t="s">
        <v>55</v>
      </c>
      <c r="R443" t="s">
        <v>23</v>
      </c>
      <c r="S443" t="s">
        <v>79</v>
      </c>
      <c r="T443" t="s">
        <v>8</v>
      </c>
    </row>
    <row r="444" spans="1:20" x14ac:dyDescent="0.25">
      <c r="A444" s="56">
        <f>P444</f>
        <v>25650</v>
      </c>
      <c r="B444" s="60" t="s">
        <v>1446</v>
      </c>
      <c r="C444" s="59"/>
      <c r="E444" s="59"/>
      <c r="F444" t="s">
        <v>91</v>
      </c>
      <c r="G444" s="1">
        <v>45237</v>
      </c>
      <c r="H444" t="s">
        <v>173</v>
      </c>
      <c r="I444" t="s">
        <v>42</v>
      </c>
      <c r="J444" t="s">
        <v>11</v>
      </c>
      <c r="K444" t="s">
        <v>12</v>
      </c>
      <c r="L444" t="s">
        <v>3</v>
      </c>
      <c r="M444" t="s">
        <v>4</v>
      </c>
      <c r="N444" s="2">
        <v>34246</v>
      </c>
      <c r="O444" s="2">
        <v>34453.599000000002</v>
      </c>
      <c r="P444" s="2">
        <v>25650</v>
      </c>
      <c r="Q444" t="s">
        <v>75</v>
      </c>
      <c r="R444" t="s">
        <v>6</v>
      </c>
      <c r="S444" t="s">
        <v>92</v>
      </c>
      <c r="T444" t="s">
        <v>8</v>
      </c>
    </row>
    <row r="445" spans="1:20" x14ac:dyDescent="0.25">
      <c r="A445" s="74">
        <f>SUM(P445:P450)</f>
        <v>26954</v>
      </c>
      <c r="B445" s="77" t="s">
        <v>1446</v>
      </c>
      <c r="C445" s="70"/>
      <c r="D445" s="74"/>
      <c r="E445" s="70"/>
      <c r="F445" t="s">
        <v>84</v>
      </c>
      <c r="G445" s="1">
        <v>45238</v>
      </c>
      <c r="H445" t="s">
        <v>251</v>
      </c>
      <c r="I445" t="s">
        <v>137</v>
      </c>
      <c r="J445" t="s">
        <v>116</v>
      </c>
      <c r="K445" t="s">
        <v>117</v>
      </c>
      <c r="L445" t="s">
        <v>3</v>
      </c>
      <c r="M445" t="s">
        <v>4</v>
      </c>
      <c r="N445" s="2">
        <v>4999</v>
      </c>
      <c r="O445" s="2">
        <v>4997.8</v>
      </c>
      <c r="P445" s="2">
        <v>3749</v>
      </c>
      <c r="Q445" t="s">
        <v>253</v>
      </c>
      <c r="R445" t="s">
        <v>23</v>
      </c>
      <c r="S445" t="s">
        <v>113</v>
      </c>
      <c r="T445" t="s">
        <v>8</v>
      </c>
    </row>
    <row r="446" spans="1:20" x14ac:dyDescent="0.25">
      <c r="A446" s="74"/>
      <c r="B446" s="78"/>
      <c r="C446" s="71"/>
      <c r="D446" s="74"/>
      <c r="E446" s="71"/>
      <c r="F446" t="s">
        <v>84</v>
      </c>
      <c r="G446" s="1">
        <v>45238</v>
      </c>
      <c r="H446" t="s">
        <v>159</v>
      </c>
      <c r="I446" t="s">
        <v>135</v>
      </c>
      <c r="J446" t="s">
        <v>116</v>
      </c>
      <c r="K446" t="s">
        <v>117</v>
      </c>
      <c r="L446" t="s">
        <v>3</v>
      </c>
      <c r="M446" t="s">
        <v>4</v>
      </c>
      <c r="N446" s="2">
        <v>8997</v>
      </c>
      <c r="O446" s="2">
        <v>8986.1859999999997</v>
      </c>
      <c r="P446" s="2">
        <v>6737</v>
      </c>
      <c r="Q446" t="s">
        <v>48</v>
      </c>
      <c r="R446" t="s">
        <v>23</v>
      </c>
      <c r="S446" t="s">
        <v>113</v>
      </c>
      <c r="T446" t="s">
        <v>8</v>
      </c>
    </row>
    <row r="447" spans="1:20" x14ac:dyDescent="0.25">
      <c r="A447" s="74"/>
      <c r="B447" s="78"/>
      <c r="C447" s="71"/>
      <c r="D447" s="74"/>
      <c r="E447" s="71"/>
      <c r="F447" t="s">
        <v>84</v>
      </c>
      <c r="G447" s="1">
        <v>45238</v>
      </c>
      <c r="H447" t="s">
        <v>251</v>
      </c>
      <c r="I447" t="s">
        <v>252</v>
      </c>
      <c r="J447" t="s">
        <v>116</v>
      </c>
      <c r="K447" t="s">
        <v>117</v>
      </c>
      <c r="L447" t="s">
        <v>3</v>
      </c>
      <c r="M447" t="s">
        <v>4</v>
      </c>
      <c r="N447" s="2">
        <v>1997</v>
      </c>
      <c r="O447" s="2">
        <v>1994.12</v>
      </c>
      <c r="P447" s="2">
        <v>1496</v>
      </c>
      <c r="Q447" t="s">
        <v>143</v>
      </c>
      <c r="R447" t="s">
        <v>23</v>
      </c>
      <c r="S447" t="s">
        <v>113</v>
      </c>
      <c r="T447" t="s">
        <v>8</v>
      </c>
    </row>
    <row r="448" spans="1:20" x14ac:dyDescent="0.25">
      <c r="A448" s="74"/>
      <c r="B448" s="78"/>
      <c r="C448" s="71"/>
      <c r="D448" s="74"/>
      <c r="E448" s="71"/>
      <c r="F448" t="s">
        <v>84</v>
      </c>
      <c r="G448" s="1">
        <v>45238</v>
      </c>
      <c r="H448" t="s">
        <v>237</v>
      </c>
      <c r="I448" t="s">
        <v>135</v>
      </c>
      <c r="J448" t="s">
        <v>116</v>
      </c>
      <c r="K448" t="s">
        <v>117</v>
      </c>
      <c r="L448" t="s">
        <v>3</v>
      </c>
      <c r="M448" t="s">
        <v>4</v>
      </c>
      <c r="N448" s="2">
        <v>5999</v>
      </c>
      <c r="O448" s="2">
        <v>5990.3490000000002</v>
      </c>
      <c r="P448" s="2">
        <v>4492</v>
      </c>
      <c r="Q448" t="s">
        <v>143</v>
      </c>
      <c r="R448" t="s">
        <v>23</v>
      </c>
      <c r="S448" t="s">
        <v>113</v>
      </c>
      <c r="T448" t="s">
        <v>8</v>
      </c>
    </row>
    <row r="449" spans="1:20" x14ac:dyDescent="0.25">
      <c r="A449" s="74"/>
      <c r="B449" s="78"/>
      <c r="C449" s="71"/>
      <c r="D449" s="74"/>
      <c r="E449" s="71"/>
      <c r="F449" t="s">
        <v>84</v>
      </c>
      <c r="G449" s="1">
        <v>45238</v>
      </c>
      <c r="H449" t="s">
        <v>134</v>
      </c>
      <c r="I449" t="s">
        <v>135</v>
      </c>
      <c r="J449" t="s">
        <v>116</v>
      </c>
      <c r="K449" t="s">
        <v>117</v>
      </c>
      <c r="L449" t="s">
        <v>3</v>
      </c>
      <c r="M449" t="s">
        <v>4</v>
      </c>
      <c r="N449" s="2">
        <v>6998</v>
      </c>
      <c r="O449" s="2">
        <v>6987.9089999999997</v>
      </c>
      <c r="P449" s="2">
        <v>5240</v>
      </c>
      <c r="Q449" t="s">
        <v>143</v>
      </c>
      <c r="R449" t="s">
        <v>23</v>
      </c>
      <c r="S449" t="s">
        <v>113</v>
      </c>
      <c r="T449" t="s">
        <v>8</v>
      </c>
    </row>
    <row r="450" spans="1:20" x14ac:dyDescent="0.25">
      <c r="A450" s="74"/>
      <c r="B450" s="78"/>
      <c r="C450" s="71"/>
      <c r="D450" s="74"/>
      <c r="E450" s="71"/>
      <c r="F450" t="s">
        <v>84</v>
      </c>
      <c r="G450" s="1">
        <v>45238</v>
      </c>
      <c r="H450" t="s">
        <v>201</v>
      </c>
      <c r="I450" t="s">
        <v>135</v>
      </c>
      <c r="J450" t="s">
        <v>116</v>
      </c>
      <c r="K450" t="s">
        <v>117</v>
      </c>
      <c r="L450" t="s">
        <v>3</v>
      </c>
      <c r="M450" t="s">
        <v>4</v>
      </c>
      <c r="N450" s="2">
        <v>6998</v>
      </c>
      <c r="O450" s="2">
        <v>6987.9089999999997</v>
      </c>
      <c r="P450" s="2">
        <v>5240</v>
      </c>
      <c r="Q450" t="s">
        <v>143</v>
      </c>
      <c r="R450" t="s">
        <v>23</v>
      </c>
      <c r="S450" t="s">
        <v>113</v>
      </c>
      <c r="T450" t="s">
        <v>8</v>
      </c>
    </row>
    <row r="451" spans="1:20" x14ac:dyDescent="0.25">
      <c r="A451" s="74">
        <f>P451+P452+P453</f>
        <v>25301.77</v>
      </c>
      <c r="B451" s="74" t="str">
        <f>'Весы 08.11.2023'!I69</f>
        <v>24930</v>
      </c>
      <c r="C451" s="70" t="str">
        <f>'Весы 08.11.2023'!K69</f>
        <v>-34</v>
      </c>
      <c r="D451" s="74">
        <f>B451-C451</f>
        <v>24964</v>
      </c>
      <c r="E451" s="72">
        <f>A451-D451</f>
        <v>337.77000000000044</v>
      </c>
      <c r="F451" t="s">
        <v>219</v>
      </c>
      <c r="G451" s="1">
        <v>45238</v>
      </c>
      <c r="H451" t="s">
        <v>218</v>
      </c>
      <c r="I451" t="s">
        <v>153</v>
      </c>
      <c r="J451" t="s">
        <v>11</v>
      </c>
      <c r="K451" t="s">
        <v>12</v>
      </c>
      <c r="L451" t="s">
        <v>3</v>
      </c>
      <c r="M451" t="s">
        <v>4</v>
      </c>
      <c r="N451" s="2">
        <v>14850</v>
      </c>
      <c r="O451" s="2">
        <v>14921.117</v>
      </c>
      <c r="P451" s="2">
        <v>11204.324000000001</v>
      </c>
      <c r="Q451" t="s">
        <v>73</v>
      </c>
      <c r="R451" t="s">
        <v>6</v>
      </c>
      <c r="S451" t="s">
        <v>220</v>
      </c>
      <c r="T451" t="s">
        <v>8</v>
      </c>
    </row>
    <row r="452" spans="1:20" x14ac:dyDescent="0.25">
      <c r="A452" s="74"/>
      <c r="B452" s="74"/>
      <c r="C452" s="71"/>
      <c r="D452" s="74"/>
      <c r="E452" s="72"/>
      <c r="F452" t="s">
        <v>219</v>
      </c>
      <c r="G452" s="1">
        <v>45238</v>
      </c>
      <c r="H452" t="s">
        <v>218</v>
      </c>
      <c r="I452" t="s">
        <v>154</v>
      </c>
      <c r="J452" t="s">
        <v>20</v>
      </c>
      <c r="K452" t="s">
        <v>21</v>
      </c>
      <c r="L452" t="s">
        <v>3</v>
      </c>
      <c r="M452" t="s">
        <v>4</v>
      </c>
      <c r="N452" s="2">
        <v>5500</v>
      </c>
      <c r="O452" s="2">
        <v>5513.8379999999997</v>
      </c>
      <c r="P452" s="2">
        <v>4650.2479999999996</v>
      </c>
      <c r="Q452" t="s">
        <v>51</v>
      </c>
      <c r="R452" t="s">
        <v>6</v>
      </c>
      <c r="S452" t="s">
        <v>220</v>
      </c>
      <c r="T452" t="s">
        <v>8</v>
      </c>
    </row>
    <row r="453" spans="1:20" x14ac:dyDescent="0.25">
      <c r="A453" s="74"/>
      <c r="B453" s="74"/>
      <c r="C453" s="71"/>
      <c r="D453" s="74"/>
      <c r="E453" s="72"/>
      <c r="F453" t="s">
        <v>219</v>
      </c>
      <c r="G453" s="1">
        <v>45238</v>
      </c>
      <c r="H453" t="s">
        <v>218</v>
      </c>
      <c r="I453" t="s">
        <v>155</v>
      </c>
      <c r="J453" t="s">
        <v>1</v>
      </c>
      <c r="K453" t="s">
        <v>2</v>
      </c>
      <c r="L453" t="s">
        <v>3</v>
      </c>
      <c r="M453" t="s">
        <v>4</v>
      </c>
      <c r="N453" s="2">
        <v>11200</v>
      </c>
      <c r="O453" s="2">
        <v>11228.269</v>
      </c>
      <c r="P453" s="2">
        <v>9447.1980000000003</v>
      </c>
      <c r="Q453" t="s">
        <v>51</v>
      </c>
      <c r="R453" t="s">
        <v>6</v>
      </c>
      <c r="S453" t="s">
        <v>220</v>
      </c>
      <c r="T453" t="s">
        <v>8</v>
      </c>
    </row>
    <row r="454" spans="1:20" x14ac:dyDescent="0.25">
      <c r="A454" s="74">
        <f>P454+P455+P456</f>
        <v>25322.995999999999</v>
      </c>
      <c r="B454" s="74" t="str">
        <f>'Весы 08.11.2023'!I68</f>
        <v>25010</v>
      </c>
      <c r="C454" s="70" t="str">
        <f>'Весы 08.11.2023'!K68</f>
        <v>-28</v>
      </c>
      <c r="D454" s="74">
        <f>B454-C454</f>
        <v>25038</v>
      </c>
      <c r="E454" s="72">
        <f>A454-D454</f>
        <v>284.99599999999919</v>
      </c>
      <c r="F454" t="s">
        <v>165</v>
      </c>
      <c r="G454" s="1">
        <v>45238</v>
      </c>
      <c r="H454" t="s">
        <v>199</v>
      </c>
      <c r="I454" t="s">
        <v>141</v>
      </c>
      <c r="J454" t="s">
        <v>16</v>
      </c>
      <c r="K454" t="s">
        <v>17</v>
      </c>
      <c r="L454" t="s">
        <v>3</v>
      </c>
      <c r="M454" t="s">
        <v>4</v>
      </c>
      <c r="N454" s="2">
        <v>5500</v>
      </c>
      <c r="O454" s="2">
        <v>5519.7669999999998</v>
      </c>
      <c r="P454" s="2">
        <v>4144.25</v>
      </c>
      <c r="Q454" t="s">
        <v>51</v>
      </c>
      <c r="R454" t="s">
        <v>6</v>
      </c>
      <c r="S454" t="s">
        <v>89</v>
      </c>
      <c r="T454" t="s">
        <v>8</v>
      </c>
    </row>
    <row r="455" spans="1:20" x14ac:dyDescent="0.25">
      <c r="A455" s="74"/>
      <c r="B455" s="74"/>
      <c r="C455" s="71"/>
      <c r="D455" s="74"/>
      <c r="E455" s="72"/>
      <c r="F455" t="s">
        <v>165</v>
      </c>
      <c r="G455" s="1">
        <v>45238</v>
      </c>
      <c r="H455" t="s">
        <v>199</v>
      </c>
      <c r="I455" t="s">
        <v>153</v>
      </c>
      <c r="J455" t="s">
        <v>11</v>
      </c>
      <c r="K455" t="s">
        <v>12</v>
      </c>
      <c r="L455" t="s">
        <v>3</v>
      </c>
      <c r="M455" t="s">
        <v>4</v>
      </c>
      <c r="N455" s="2">
        <v>9400</v>
      </c>
      <c r="O455" s="2">
        <v>9445.0169999999998</v>
      </c>
      <c r="P455" s="2">
        <v>7092.299</v>
      </c>
      <c r="Q455" t="s">
        <v>73</v>
      </c>
      <c r="R455" t="s">
        <v>6</v>
      </c>
      <c r="S455" t="s">
        <v>89</v>
      </c>
      <c r="T455" t="s">
        <v>8</v>
      </c>
    </row>
    <row r="456" spans="1:20" x14ac:dyDescent="0.25">
      <c r="A456" s="74"/>
      <c r="B456" s="74"/>
      <c r="C456" s="71"/>
      <c r="D456" s="74"/>
      <c r="E456" s="72"/>
      <c r="F456" t="s">
        <v>165</v>
      </c>
      <c r="G456" s="1">
        <v>45238</v>
      </c>
      <c r="H456" t="s">
        <v>199</v>
      </c>
      <c r="I456" t="s">
        <v>155</v>
      </c>
      <c r="J456" t="s">
        <v>1</v>
      </c>
      <c r="K456" t="s">
        <v>2</v>
      </c>
      <c r="L456" t="s">
        <v>3</v>
      </c>
      <c r="M456" t="s">
        <v>4</v>
      </c>
      <c r="N456" s="2">
        <v>16700</v>
      </c>
      <c r="O456" s="2">
        <v>16742.151000000002</v>
      </c>
      <c r="P456" s="2">
        <v>14086.447</v>
      </c>
      <c r="Q456" t="s">
        <v>51</v>
      </c>
      <c r="R456" t="s">
        <v>6</v>
      </c>
      <c r="S456" t="s">
        <v>89</v>
      </c>
      <c r="T456" t="s">
        <v>8</v>
      </c>
    </row>
    <row r="457" spans="1:20" x14ac:dyDescent="0.25">
      <c r="A457" s="74">
        <f>P457+P458+P459</f>
        <v>27042.345000000001</v>
      </c>
      <c r="B457" s="74" t="str">
        <f>'Весы 08.11.2023'!I58</f>
        <v>26790</v>
      </c>
      <c r="C457" s="70" t="str">
        <f>'Весы 08.11.2023'!K58</f>
        <v>-15</v>
      </c>
      <c r="D457" s="74">
        <f>B457-C457</f>
        <v>26805</v>
      </c>
      <c r="E457" s="72">
        <f>A457-D457</f>
        <v>237.34500000000116</v>
      </c>
      <c r="F457" t="s">
        <v>101</v>
      </c>
      <c r="G457" s="1">
        <v>45238</v>
      </c>
      <c r="H457" t="s">
        <v>244</v>
      </c>
      <c r="I457" t="s">
        <v>127</v>
      </c>
      <c r="J457" t="s">
        <v>11</v>
      </c>
      <c r="K457" t="s">
        <v>12</v>
      </c>
      <c r="L457" t="s">
        <v>3</v>
      </c>
      <c r="M457" t="s">
        <v>4</v>
      </c>
      <c r="N457" s="2">
        <v>2805</v>
      </c>
      <c r="O457" s="2">
        <v>2818.4470000000001</v>
      </c>
      <c r="P457" s="2">
        <v>2114.9699999999998</v>
      </c>
      <c r="Q457" t="s">
        <v>73</v>
      </c>
      <c r="R457" t="s">
        <v>6</v>
      </c>
      <c r="S457" t="s">
        <v>132</v>
      </c>
      <c r="T457" t="s">
        <v>8</v>
      </c>
    </row>
    <row r="458" spans="1:20" x14ac:dyDescent="0.25">
      <c r="A458" s="74"/>
      <c r="B458" s="74"/>
      <c r="C458" s="71"/>
      <c r="D458" s="74"/>
      <c r="E458" s="72"/>
      <c r="F458" t="s">
        <v>101</v>
      </c>
      <c r="G458" s="1">
        <v>45238</v>
      </c>
      <c r="H458" t="s">
        <v>244</v>
      </c>
      <c r="I458" t="s">
        <v>168</v>
      </c>
      <c r="J458" t="s">
        <v>20</v>
      </c>
      <c r="K458" t="s">
        <v>21</v>
      </c>
      <c r="L458" t="s">
        <v>3</v>
      </c>
      <c r="M458" t="s">
        <v>4</v>
      </c>
      <c r="N458" s="2">
        <v>12620</v>
      </c>
      <c r="O458" s="2">
        <v>12651.777</v>
      </c>
      <c r="P458" s="2">
        <v>10663.897000000001</v>
      </c>
      <c r="Q458" t="s">
        <v>51</v>
      </c>
      <c r="R458" t="s">
        <v>6</v>
      </c>
      <c r="S458" t="s">
        <v>132</v>
      </c>
      <c r="T458" t="s">
        <v>8</v>
      </c>
    </row>
    <row r="459" spans="1:20" x14ac:dyDescent="0.25">
      <c r="A459" s="74"/>
      <c r="B459" s="74"/>
      <c r="C459" s="71"/>
      <c r="D459" s="74"/>
      <c r="E459" s="72"/>
      <c r="F459" t="s">
        <v>101</v>
      </c>
      <c r="G459" s="1">
        <v>45238</v>
      </c>
      <c r="H459" t="s">
        <v>244</v>
      </c>
      <c r="I459" t="s">
        <v>130</v>
      </c>
      <c r="J459" t="s">
        <v>1</v>
      </c>
      <c r="K459" t="s">
        <v>2</v>
      </c>
      <c r="L459" t="s">
        <v>3</v>
      </c>
      <c r="M459" t="s">
        <v>4</v>
      </c>
      <c r="N459" s="2">
        <v>16940</v>
      </c>
      <c r="O459" s="2">
        <v>16982.858</v>
      </c>
      <c r="P459" s="2">
        <v>14263.477999999999</v>
      </c>
      <c r="Q459" t="s">
        <v>51</v>
      </c>
      <c r="R459" t="s">
        <v>6</v>
      </c>
      <c r="S459" t="s">
        <v>132</v>
      </c>
      <c r="T459" t="s">
        <v>8</v>
      </c>
    </row>
    <row r="460" spans="1:20" x14ac:dyDescent="0.25">
      <c r="A460" s="56">
        <f>P460</f>
        <v>27345</v>
      </c>
      <c r="B460" s="60" t="s">
        <v>1446</v>
      </c>
      <c r="C460" s="59"/>
      <c r="E460" s="61"/>
      <c r="F460" t="s">
        <v>118</v>
      </c>
      <c r="G460" s="1">
        <v>45237</v>
      </c>
      <c r="H460" t="s">
        <v>173</v>
      </c>
      <c r="I460" t="s">
        <v>85</v>
      </c>
      <c r="J460" t="s">
        <v>1</v>
      </c>
      <c r="K460" t="s">
        <v>2</v>
      </c>
      <c r="L460" t="s">
        <v>3</v>
      </c>
      <c r="M460" t="s">
        <v>4</v>
      </c>
      <c r="N460" s="2">
        <v>32631</v>
      </c>
      <c r="O460" s="2">
        <v>32658.670999999998</v>
      </c>
      <c r="P460" s="2">
        <v>27345</v>
      </c>
      <c r="Q460" t="s">
        <v>49</v>
      </c>
      <c r="R460" t="s">
        <v>23</v>
      </c>
      <c r="S460" t="s">
        <v>119</v>
      </c>
      <c r="T460" t="s">
        <v>8</v>
      </c>
    </row>
    <row r="461" spans="1:20" x14ac:dyDescent="0.25">
      <c r="A461" s="74">
        <f>P461+P462</f>
        <v>24455.678</v>
      </c>
      <c r="B461" s="74" t="str">
        <f>'Весы 08.11.2023'!I81</f>
        <v>24340</v>
      </c>
      <c r="C461" s="70" t="str">
        <f>'Весы 08.11.2023'!K81</f>
        <v>-23</v>
      </c>
      <c r="D461" s="74">
        <f>B461-C461</f>
        <v>24363</v>
      </c>
      <c r="E461" s="72">
        <f>A461-D461</f>
        <v>92.677999999999884</v>
      </c>
      <c r="F461" t="s">
        <v>5</v>
      </c>
      <c r="G461" s="1">
        <v>45238</v>
      </c>
      <c r="H461" t="s">
        <v>200</v>
      </c>
      <c r="I461" t="s">
        <v>64</v>
      </c>
      <c r="J461" t="s">
        <v>11</v>
      </c>
      <c r="K461" t="s">
        <v>12</v>
      </c>
      <c r="L461" t="s">
        <v>3</v>
      </c>
      <c r="M461" t="s">
        <v>4</v>
      </c>
      <c r="N461" s="2">
        <v>15410</v>
      </c>
      <c r="O461" s="2">
        <v>15466.123</v>
      </c>
      <c r="P461" s="2">
        <v>11511.275</v>
      </c>
      <c r="Q461" t="s">
        <v>51</v>
      </c>
      <c r="R461" t="s">
        <v>6</v>
      </c>
      <c r="S461" t="s">
        <v>102</v>
      </c>
      <c r="T461" t="s">
        <v>8</v>
      </c>
    </row>
    <row r="462" spans="1:20" x14ac:dyDescent="0.25">
      <c r="A462" s="74"/>
      <c r="B462" s="74"/>
      <c r="C462" s="71"/>
      <c r="D462" s="74"/>
      <c r="E462" s="72"/>
      <c r="F462" t="s">
        <v>5</v>
      </c>
      <c r="G462" s="1">
        <v>45238</v>
      </c>
      <c r="H462" t="s">
        <v>200</v>
      </c>
      <c r="I462" t="s">
        <v>94</v>
      </c>
      <c r="J462" t="s">
        <v>1</v>
      </c>
      <c r="K462" t="s">
        <v>2</v>
      </c>
      <c r="L462" t="s">
        <v>3</v>
      </c>
      <c r="M462" t="s">
        <v>4</v>
      </c>
      <c r="N462" s="2">
        <v>15410</v>
      </c>
      <c r="O462" s="2">
        <v>15436.058000000001</v>
      </c>
      <c r="P462" s="2">
        <v>12944.403</v>
      </c>
      <c r="Q462" t="s">
        <v>55</v>
      </c>
      <c r="R462" t="s">
        <v>6</v>
      </c>
      <c r="S462" t="s">
        <v>102</v>
      </c>
      <c r="T462" t="s">
        <v>8</v>
      </c>
    </row>
    <row r="463" spans="1:20" x14ac:dyDescent="0.25">
      <c r="A463" s="74">
        <f>P463+P464+P465</f>
        <v>25183.516</v>
      </c>
      <c r="B463" s="74" t="str">
        <f>'Весы 08.11.2023'!I79</f>
        <v>25070</v>
      </c>
      <c r="C463" s="70" t="str">
        <f>'Весы 08.11.2023'!K79</f>
        <v>-42</v>
      </c>
      <c r="D463" s="74">
        <f>B463-C463</f>
        <v>25112</v>
      </c>
      <c r="E463" s="72">
        <f>A463-D463</f>
        <v>71.515999999999622</v>
      </c>
      <c r="F463" t="s">
        <v>65</v>
      </c>
      <c r="G463" s="1">
        <v>45238</v>
      </c>
      <c r="H463" t="s">
        <v>190</v>
      </c>
      <c r="I463" t="s">
        <v>95</v>
      </c>
      <c r="J463" t="s">
        <v>1</v>
      </c>
      <c r="K463" t="s">
        <v>2</v>
      </c>
      <c r="L463" t="s">
        <v>3</v>
      </c>
      <c r="M463" t="s">
        <v>4</v>
      </c>
      <c r="N463" s="2">
        <v>13975</v>
      </c>
      <c r="O463" s="2">
        <v>13986.879000000001</v>
      </c>
      <c r="P463" s="2">
        <v>11697.072</v>
      </c>
      <c r="Q463" t="s">
        <v>49</v>
      </c>
      <c r="R463" t="s">
        <v>6</v>
      </c>
      <c r="S463" t="s">
        <v>66</v>
      </c>
      <c r="T463" t="s">
        <v>8</v>
      </c>
    </row>
    <row r="464" spans="1:20" x14ac:dyDescent="0.25">
      <c r="A464" s="74"/>
      <c r="B464" s="74"/>
      <c r="C464" s="71"/>
      <c r="D464" s="74"/>
      <c r="E464" s="72"/>
      <c r="F464" t="s">
        <v>65</v>
      </c>
      <c r="G464" s="1">
        <v>45238</v>
      </c>
      <c r="H464" t="s">
        <v>190</v>
      </c>
      <c r="I464" t="s">
        <v>53</v>
      </c>
      <c r="J464" t="s">
        <v>16</v>
      </c>
      <c r="K464" t="s">
        <v>17</v>
      </c>
      <c r="L464" t="s">
        <v>3</v>
      </c>
      <c r="M464" t="s">
        <v>4</v>
      </c>
      <c r="N464" s="2">
        <v>4375</v>
      </c>
      <c r="O464" s="2">
        <v>4385.6270000000004</v>
      </c>
      <c r="P464" s="2">
        <v>3263.75</v>
      </c>
      <c r="Q464" t="s">
        <v>55</v>
      </c>
      <c r="R464" t="s">
        <v>6</v>
      </c>
      <c r="S464" t="s">
        <v>66</v>
      </c>
      <c r="T464" t="s">
        <v>8</v>
      </c>
    </row>
    <row r="465" spans="1:20" x14ac:dyDescent="0.25">
      <c r="A465" s="74"/>
      <c r="B465" s="74"/>
      <c r="C465" s="71"/>
      <c r="D465" s="74"/>
      <c r="E465" s="72"/>
      <c r="F465" t="s">
        <v>65</v>
      </c>
      <c r="G465" s="1">
        <v>45238</v>
      </c>
      <c r="H465" t="s">
        <v>190</v>
      </c>
      <c r="I465" t="s">
        <v>64</v>
      </c>
      <c r="J465" t="s">
        <v>11</v>
      </c>
      <c r="K465" t="s">
        <v>12</v>
      </c>
      <c r="L465" t="s">
        <v>3</v>
      </c>
      <c r="M465" t="s">
        <v>4</v>
      </c>
      <c r="N465" s="2">
        <v>13685</v>
      </c>
      <c r="O465" s="2">
        <v>13718.172</v>
      </c>
      <c r="P465" s="2">
        <v>10222.694</v>
      </c>
      <c r="Q465" t="s">
        <v>55</v>
      </c>
      <c r="R465" t="s">
        <v>6</v>
      </c>
      <c r="S465" t="s">
        <v>66</v>
      </c>
      <c r="T465" t="s">
        <v>8</v>
      </c>
    </row>
    <row r="466" spans="1:20" x14ac:dyDescent="0.25">
      <c r="A466" s="74">
        <f>P466+P467+P468</f>
        <v>25851.837</v>
      </c>
      <c r="B466" s="74" t="str">
        <f>'Весы 08.11.2023'!I77</f>
        <v>25680</v>
      </c>
      <c r="C466" s="70" t="str">
        <f>'Весы 08.11.2023'!K77</f>
        <v>-32</v>
      </c>
      <c r="D466" s="74">
        <f>B466-C466</f>
        <v>25712</v>
      </c>
      <c r="E466" s="72">
        <f>A466-D466</f>
        <v>139.83699999999953</v>
      </c>
      <c r="F466" t="s">
        <v>40</v>
      </c>
      <c r="G466" s="1">
        <v>45238</v>
      </c>
      <c r="H466" t="s">
        <v>209</v>
      </c>
      <c r="I466" t="s">
        <v>64</v>
      </c>
      <c r="J466" t="s">
        <v>11</v>
      </c>
      <c r="K466" t="s">
        <v>12</v>
      </c>
      <c r="L466" t="s">
        <v>3</v>
      </c>
      <c r="M466" t="s">
        <v>4</v>
      </c>
      <c r="N466" s="2">
        <v>6290</v>
      </c>
      <c r="O466" s="2">
        <v>6305.2470000000003</v>
      </c>
      <c r="P466" s="2">
        <v>4698.6289999999999</v>
      </c>
      <c r="Q466" t="s">
        <v>55</v>
      </c>
      <c r="R466" t="s">
        <v>6</v>
      </c>
      <c r="S466" t="s">
        <v>41</v>
      </c>
      <c r="T466" t="s">
        <v>8</v>
      </c>
    </row>
    <row r="467" spans="1:20" x14ac:dyDescent="0.25">
      <c r="A467" s="74"/>
      <c r="B467" s="74"/>
      <c r="C467" s="71"/>
      <c r="D467" s="74"/>
      <c r="E467" s="72"/>
      <c r="F467" t="s">
        <v>40</v>
      </c>
      <c r="G467" s="1">
        <v>45238</v>
      </c>
      <c r="H467" t="s">
        <v>209</v>
      </c>
      <c r="I467" t="s">
        <v>94</v>
      </c>
      <c r="J467" t="s">
        <v>20</v>
      </c>
      <c r="K467" t="s">
        <v>21</v>
      </c>
      <c r="L467" t="s">
        <v>3</v>
      </c>
      <c r="M467" t="s">
        <v>4</v>
      </c>
      <c r="N467" s="2">
        <v>6320</v>
      </c>
      <c r="O467" s="2">
        <v>6325.34</v>
      </c>
      <c r="P467" s="2">
        <v>5308.8019999999997</v>
      </c>
      <c r="Q467" t="s">
        <v>49</v>
      </c>
      <c r="R467" t="s">
        <v>6</v>
      </c>
      <c r="S467" t="s">
        <v>41</v>
      </c>
      <c r="T467" t="s">
        <v>8</v>
      </c>
    </row>
    <row r="468" spans="1:20" x14ac:dyDescent="0.25">
      <c r="A468" s="74"/>
      <c r="B468" s="74"/>
      <c r="C468" s="71"/>
      <c r="D468" s="74"/>
      <c r="E468" s="72"/>
      <c r="F468" t="s">
        <v>40</v>
      </c>
      <c r="G468" s="1">
        <v>45238</v>
      </c>
      <c r="H468" t="s">
        <v>209</v>
      </c>
      <c r="I468" t="s">
        <v>95</v>
      </c>
      <c r="J468" t="s">
        <v>1</v>
      </c>
      <c r="K468" t="s">
        <v>2</v>
      </c>
      <c r="L468" t="s">
        <v>3</v>
      </c>
      <c r="M468" t="s">
        <v>4</v>
      </c>
      <c r="N468" s="2">
        <v>18930</v>
      </c>
      <c r="O468" s="2">
        <v>18946.09</v>
      </c>
      <c r="P468" s="2">
        <v>15844.406000000001</v>
      </c>
      <c r="Q468" t="s">
        <v>49</v>
      </c>
      <c r="R468" t="s">
        <v>6</v>
      </c>
      <c r="S468" t="s">
        <v>41</v>
      </c>
      <c r="T468" t="s">
        <v>8</v>
      </c>
    </row>
    <row r="469" spans="1:20" x14ac:dyDescent="0.25">
      <c r="A469" s="74">
        <f>P469+P470</f>
        <v>24734.695</v>
      </c>
      <c r="B469" s="74" t="str">
        <f>'Весы 08.11.2023'!I78</f>
        <v>24650</v>
      </c>
      <c r="C469" s="70" t="str">
        <f>'Весы 08.11.2023'!K78</f>
        <v>-27</v>
      </c>
      <c r="D469" s="74">
        <f>B469-C469</f>
        <v>24677</v>
      </c>
      <c r="E469" s="72">
        <f>A469-D469</f>
        <v>57.694999999999709</v>
      </c>
      <c r="F469" t="s">
        <v>44</v>
      </c>
      <c r="G469" s="1">
        <v>45238</v>
      </c>
      <c r="H469" t="s">
        <v>189</v>
      </c>
      <c r="I469" t="s">
        <v>64</v>
      </c>
      <c r="J469" t="s">
        <v>11</v>
      </c>
      <c r="K469" t="s">
        <v>12</v>
      </c>
      <c r="L469" t="s">
        <v>3</v>
      </c>
      <c r="M469" t="s">
        <v>4</v>
      </c>
      <c r="N469" s="2">
        <v>14400</v>
      </c>
      <c r="O469" s="2">
        <v>14434.906000000001</v>
      </c>
      <c r="P469" s="2">
        <v>10756.799000000001</v>
      </c>
      <c r="Q469" t="s">
        <v>55</v>
      </c>
      <c r="R469" t="s">
        <v>6</v>
      </c>
      <c r="S469" t="s">
        <v>45</v>
      </c>
      <c r="T469" t="s">
        <v>8</v>
      </c>
    </row>
    <row r="470" spans="1:20" x14ac:dyDescent="0.25">
      <c r="A470" s="74"/>
      <c r="B470" s="74"/>
      <c r="C470" s="71"/>
      <c r="D470" s="74"/>
      <c r="E470" s="72"/>
      <c r="F470" t="s">
        <v>44</v>
      </c>
      <c r="G470" s="1">
        <v>45238</v>
      </c>
      <c r="H470" t="s">
        <v>189</v>
      </c>
      <c r="I470" t="s">
        <v>95</v>
      </c>
      <c r="J470" t="s">
        <v>1</v>
      </c>
      <c r="K470" t="s">
        <v>2</v>
      </c>
      <c r="L470" t="s">
        <v>3</v>
      </c>
      <c r="M470" t="s">
        <v>4</v>
      </c>
      <c r="N470" s="2">
        <v>16700</v>
      </c>
      <c r="O470" s="2">
        <v>16714.195</v>
      </c>
      <c r="P470" s="2">
        <v>13977.896000000001</v>
      </c>
      <c r="Q470" t="s">
        <v>49</v>
      </c>
      <c r="R470" t="s">
        <v>6</v>
      </c>
      <c r="S470" t="s">
        <v>45</v>
      </c>
      <c r="T470" t="s">
        <v>8</v>
      </c>
    </row>
    <row r="471" spans="1:20" x14ac:dyDescent="0.25">
      <c r="A471" s="74">
        <f>P471+P472+P473</f>
        <v>26249.345000000001</v>
      </c>
      <c r="B471" s="74" t="str">
        <f>'Весы 08.11.2023'!I86</f>
        <v>26130</v>
      </c>
      <c r="C471" s="70" t="str">
        <f>'Весы 08.11.2023'!K86</f>
        <v>-32</v>
      </c>
      <c r="D471" s="74">
        <f>B471-C471</f>
        <v>26162</v>
      </c>
      <c r="E471" s="72">
        <f>A471-D471</f>
        <v>87.345000000001164</v>
      </c>
      <c r="F471" t="s">
        <v>101</v>
      </c>
      <c r="G471" s="1">
        <v>45238</v>
      </c>
      <c r="H471" t="s">
        <v>245</v>
      </c>
      <c r="I471" t="s">
        <v>90</v>
      </c>
      <c r="J471" t="s">
        <v>20</v>
      </c>
      <c r="K471" t="s">
        <v>21</v>
      </c>
      <c r="L471" t="s">
        <v>3</v>
      </c>
      <c r="M471" t="s">
        <v>4</v>
      </c>
      <c r="N471" s="2">
        <v>10015</v>
      </c>
      <c r="O471" s="2">
        <v>10015</v>
      </c>
      <c r="P471" s="2">
        <v>8402.5849999999991</v>
      </c>
      <c r="Q471" t="s">
        <v>39</v>
      </c>
      <c r="R471" t="s">
        <v>6</v>
      </c>
      <c r="S471" t="s">
        <v>132</v>
      </c>
      <c r="T471" t="s">
        <v>8</v>
      </c>
    </row>
    <row r="472" spans="1:20" x14ac:dyDescent="0.25">
      <c r="A472" s="74"/>
      <c r="B472" s="74"/>
      <c r="C472" s="71"/>
      <c r="D472" s="74"/>
      <c r="E472" s="72"/>
      <c r="F472" t="s">
        <v>101</v>
      </c>
      <c r="G472" s="1">
        <v>45238</v>
      </c>
      <c r="H472" t="s">
        <v>245</v>
      </c>
      <c r="I472" t="s">
        <v>90</v>
      </c>
      <c r="J472" t="s">
        <v>1</v>
      </c>
      <c r="K472" t="s">
        <v>2</v>
      </c>
      <c r="L472" t="s">
        <v>3</v>
      </c>
      <c r="M472" t="s">
        <v>4</v>
      </c>
      <c r="N472" s="2">
        <v>12620</v>
      </c>
      <c r="O472" s="2">
        <v>12630.677</v>
      </c>
      <c r="P472" s="2">
        <v>10588.178</v>
      </c>
      <c r="Q472" t="s">
        <v>49</v>
      </c>
      <c r="R472" t="s">
        <v>6</v>
      </c>
      <c r="S472" t="s">
        <v>132</v>
      </c>
      <c r="T472" t="s">
        <v>8</v>
      </c>
    </row>
    <row r="473" spans="1:20" x14ac:dyDescent="0.25">
      <c r="A473" s="74"/>
      <c r="B473" s="74"/>
      <c r="C473" s="71"/>
      <c r="D473" s="74"/>
      <c r="E473" s="72"/>
      <c r="F473" t="s">
        <v>101</v>
      </c>
      <c r="G473" s="1">
        <v>45238</v>
      </c>
      <c r="H473" t="s">
        <v>245</v>
      </c>
      <c r="I473" t="s">
        <v>53</v>
      </c>
      <c r="J473" t="s">
        <v>11</v>
      </c>
      <c r="K473" t="s">
        <v>12</v>
      </c>
      <c r="L473" t="s">
        <v>3</v>
      </c>
      <c r="M473" t="s">
        <v>4</v>
      </c>
      <c r="N473" s="2">
        <v>9730</v>
      </c>
      <c r="O473" s="2">
        <v>9741.8019999999997</v>
      </c>
      <c r="P473" s="2">
        <v>7258.5820000000003</v>
      </c>
      <c r="Q473" t="s">
        <v>49</v>
      </c>
      <c r="R473" t="s">
        <v>6</v>
      </c>
      <c r="S473" t="s">
        <v>132</v>
      </c>
      <c r="T473" t="s">
        <v>8</v>
      </c>
    </row>
    <row r="474" spans="1:20" x14ac:dyDescent="0.25">
      <c r="A474" s="74">
        <f>P474+P475+P476</f>
        <v>19290.466</v>
      </c>
      <c r="B474" s="74" t="str">
        <f>'Весы 08.11.2023'!I82</f>
        <v>19220</v>
      </c>
      <c r="C474" s="70" t="str">
        <f>'Весы 08.11.2023'!K82</f>
        <v>-23</v>
      </c>
      <c r="D474" s="74">
        <f>B474-C474</f>
        <v>19243</v>
      </c>
      <c r="E474" s="72">
        <f>A474-D474</f>
        <v>47.466000000000349</v>
      </c>
      <c r="F474" t="s">
        <v>22</v>
      </c>
      <c r="G474" s="1">
        <v>45238</v>
      </c>
      <c r="H474" t="s">
        <v>149</v>
      </c>
      <c r="I474" t="s">
        <v>64</v>
      </c>
      <c r="J474" t="s">
        <v>11</v>
      </c>
      <c r="K474" t="s">
        <v>12</v>
      </c>
      <c r="L474" t="s">
        <v>3</v>
      </c>
      <c r="M474" t="s">
        <v>4</v>
      </c>
      <c r="N474" s="2">
        <v>10015</v>
      </c>
      <c r="O474" s="2">
        <v>10063.703</v>
      </c>
      <c r="P474" s="2">
        <v>7481.2089999999998</v>
      </c>
      <c r="Q474" t="s">
        <v>73</v>
      </c>
      <c r="R474" t="s">
        <v>23</v>
      </c>
      <c r="S474" t="s">
        <v>24</v>
      </c>
      <c r="T474" t="s">
        <v>8</v>
      </c>
    </row>
    <row r="475" spans="1:20" x14ac:dyDescent="0.25">
      <c r="A475" s="74"/>
      <c r="B475" s="74"/>
      <c r="C475" s="71"/>
      <c r="D475" s="74"/>
      <c r="E475" s="72"/>
      <c r="F475" t="s">
        <v>22</v>
      </c>
      <c r="G475" s="1">
        <v>45238</v>
      </c>
      <c r="H475" t="s">
        <v>149</v>
      </c>
      <c r="I475" t="s">
        <v>150</v>
      </c>
      <c r="J475" t="s">
        <v>20</v>
      </c>
      <c r="K475" t="s">
        <v>21</v>
      </c>
      <c r="L475" t="s">
        <v>3</v>
      </c>
      <c r="M475" t="s">
        <v>4</v>
      </c>
      <c r="N475" s="2">
        <v>3055</v>
      </c>
      <c r="O475" s="2">
        <v>3060.1570000000002</v>
      </c>
      <c r="P475" s="2">
        <v>2569.2550000000001</v>
      </c>
      <c r="Q475" t="s">
        <v>55</v>
      </c>
      <c r="R475" t="s">
        <v>23</v>
      </c>
      <c r="S475" t="s">
        <v>24</v>
      </c>
      <c r="T475" t="s">
        <v>8</v>
      </c>
    </row>
    <row r="476" spans="1:20" x14ac:dyDescent="0.25">
      <c r="A476" s="74"/>
      <c r="B476" s="74"/>
      <c r="C476" s="71"/>
      <c r="D476" s="74"/>
      <c r="E476" s="72"/>
      <c r="F476" t="s">
        <v>22</v>
      </c>
      <c r="G476" s="1">
        <v>45238</v>
      </c>
      <c r="H476" t="s">
        <v>149</v>
      </c>
      <c r="I476" t="s">
        <v>94</v>
      </c>
      <c r="J476" t="s">
        <v>1</v>
      </c>
      <c r="K476" t="s">
        <v>2</v>
      </c>
      <c r="L476" t="s">
        <v>3</v>
      </c>
      <c r="M476" t="s">
        <v>4</v>
      </c>
      <c r="N476" s="2">
        <v>11000</v>
      </c>
      <c r="O476" s="2">
        <v>11018.601000000001</v>
      </c>
      <c r="P476" s="2">
        <v>9240.0020000000004</v>
      </c>
      <c r="Q476" t="s">
        <v>55</v>
      </c>
      <c r="R476" t="s">
        <v>23</v>
      </c>
      <c r="S476" t="s">
        <v>24</v>
      </c>
      <c r="T476" t="s">
        <v>8</v>
      </c>
    </row>
    <row r="477" spans="1:20" x14ac:dyDescent="0.25">
      <c r="A477" s="74">
        <f>P477+P478</f>
        <v>23894.47</v>
      </c>
      <c r="B477" s="74" t="str">
        <f>'Весы 08.11.2023'!I84</f>
        <v>23830</v>
      </c>
      <c r="C477" s="73" t="str">
        <f>'Весы 08.11.2023'!K84</f>
        <v>-16</v>
      </c>
      <c r="D477" s="74">
        <f>B477-C477</f>
        <v>23846</v>
      </c>
      <c r="E477" s="72">
        <f>A477-D477</f>
        <v>48.470000000001164</v>
      </c>
      <c r="F477" t="s">
        <v>58</v>
      </c>
      <c r="G477" s="1">
        <v>45238</v>
      </c>
      <c r="H477" t="s">
        <v>159</v>
      </c>
      <c r="I477" t="s">
        <v>64</v>
      </c>
      <c r="J477" t="s">
        <v>16</v>
      </c>
      <c r="K477" t="s">
        <v>17</v>
      </c>
      <c r="L477" t="s">
        <v>3</v>
      </c>
      <c r="M477" t="s">
        <v>4</v>
      </c>
      <c r="N477" s="2">
        <v>15005</v>
      </c>
      <c r="O477" s="2">
        <v>15059.647999999999</v>
      </c>
      <c r="P477" s="2">
        <v>11208.74</v>
      </c>
      <c r="Q477" t="s">
        <v>51</v>
      </c>
      <c r="R477" t="s">
        <v>23</v>
      </c>
      <c r="S477" t="s">
        <v>59</v>
      </c>
      <c r="T477" t="s">
        <v>8</v>
      </c>
    </row>
    <row r="478" spans="1:20" x14ac:dyDescent="0.25">
      <c r="A478" s="74"/>
      <c r="B478" s="74"/>
      <c r="C478" s="73"/>
      <c r="D478" s="74"/>
      <c r="E478" s="72"/>
      <c r="F478" t="s">
        <v>58</v>
      </c>
      <c r="G478" s="1">
        <v>45238</v>
      </c>
      <c r="H478" t="s">
        <v>159</v>
      </c>
      <c r="I478" t="s">
        <v>53</v>
      </c>
      <c r="J478" t="s">
        <v>11</v>
      </c>
      <c r="K478" t="s">
        <v>12</v>
      </c>
      <c r="L478" t="s">
        <v>3</v>
      </c>
      <c r="M478" t="s">
        <v>4</v>
      </c>
      <c r="N478" s="2">
        <v>17005</v>
      </c>
      <c r="O478" s="2">
        <v>17067.050999999999</v>
      </c>
      <c r="P478" s="2">
        <v>12685.73</v>
      </c>
      <c r="Q478" t="s">
        <v>51</v>
      </c>
      <c r="R478" t="s">
        <v>23</v>
      </c>
      <c r="S478" t="s">
        <v>59</v>
      </c>
      <c r="T478" t="s">
        <v>8</v>
      </c>
    </row>
    <row r="479" spans="1:20" x14ac:dyDescent="0.25">
      <c r="A479" s="74">
        <f>P479+P480+P481+P482</f>
        <v>25055.599000000002</v>
      </c>
      <c r="B479" s="74" t="str">
        <f>'Весы 08.11.2023'!I83</f>
        <v>24900</v>
      </c>
      <c r="C479" s="70" t="str">
        <f>'Весы 08.11.2023'!K83</f>
        <v>-51</v>
      </c>
      <c r="D479" s="74">
        <f>B479-C479</f>
        <v>24951</v>
      </c>
      <c r="E479" s="72">
        <f>A479-D479</f>
        <v>104.59900000000198</v>
      </c>
      <c r="F479" t="s">
        <v>107</v>
      </c>
      <c r="G479" s="1">
        <v>45238</v>
      </c>
      <c r="H479" t="s">
        <v>227</v>
      </c>
      <c r="I479" t="s">
        <v>64</v>
      </c>
      <c r="J479" t="s">
        <v>11</v>
      </c>
      <c r="K479" t="s">
        <v>12</v>
      </c>
      <c r="L479" t="s">
        <v>3</v>
      </c>
      <c r="M479" t="s">
        <v>4</v>
      </c>
      <c r="N479" s="2">
        <v>10100</v>
      </c>
      <c r="O479" s="2">
        <v>10124.482</v>
      </c>
      <c r="P479" s="2">
        <v>7544.6989999999996</v>
      </c>
      <c r="Q479" t="s">
        <v>55</v>
      </c>
      <c r="R479" t="s">
        <v>23</v>
      </c>
      <c r="S479" t="s">
        <v>108</v>
      </c>
      <c r="T479" t="s">
        <v>8</v>
      </c>
    </row>
    <row r="480" spans="1:20" x14ac:dyDescent="0.25">
      <c r="A480" s="74"/>
      <c r="B480" s="74"/>
      <c r="C480" s="71"/>
      <c r="D480" s="74"/>
      <c r="E480" s="72"/>
      <c r="F480" t="s">
        <v>107</v>
      </c>
      <c r="G480" s="1">
        <v>45238</v>
      </c>
      <c r="H480" t="s">
        <v>227</v>
      </c>
      <c r="I480" t="s">
        <v>150</v>
      </c>
      <c r="J480" t="s">
        <v>20</v>
      </c>
      <c r="K480" t="s">
        <v>21</v>
      </c>
      <c r="L480" t="s">
        <v>3</v>
      </c>
      <c r="M480" t="s">
        <v>4</v>
      </c>
      <c r="N480" s="2">
        <v>7700</v>
      </c>
      <c r="O480" s="2">
        <v>7712.9979999999996</v>
      </c>
      <c r="P480" s="2">
        <v>6475.7</v>
      </c>
      <c r="Q480" t="s">
        <v>55</v>
      </c>
      <c r="R480" t="s">
        <v>23</v>
      </c>
      <c r="S480" t="s">
        <v>108</v>
      </c>
      <c r="T480" t="s">
        <v>8</v>
      </c>
    </row>
    <row r="481" spans="1:20" x14ac:dyDescent="0.25">
      <c r="A481" s="74"/>
      <c r="B481" s="74"/>
      <c r="C481" s="71"/>
      <c r="D481" s="74"/>
      <c r="E481" s="72"/>
      <c r="F481" t="s">
        <v>107</v>
      </c>
      <c r="G481" s="1">
        <v>45238</v>
      </c>
      <c r="H481" t="s">
        <v>227</v>
      </c>
      <c r="I481" t="s">
        <v>94</v>
      </c>
      <c r="J481" t="s">
        <v>1</v>
      </c>
      <c r="K481" t="s">
        <v>2</v>
      </c>
      <c r="L481" t="s">
        <v>3</v>
      </c>
      <c r="M481" t="s">
        <v>4</v>
      </c>
      <c r="N481" s="2">
        <v>5300</v>
      </c>
      <c r="O481" s="2">
        <v>5308.9620000000004</v>
      </c>
      <c r="P481" s="2">
        <v>4452.0010000000002</v>
      </c>
      <c r="Q481" t="s">
        <v>55</v>
      </c>
      <c r="R481" t="s">
        <v>23</v>
      </c>
      <c r="S481" t="s">
        <v>108</v>
      </c>
      <c r="T481" t="s">
        <v>8</v>
      </c>
    </row>
    <row r="482" spans="1:20" x14ac:dyDescent="0.25">
      <c r="A482" s="74"/>
      <c r="B482" s="74"/>
      <c r="C482" s="71"/>
      <c r="D482" s="74"/>
      <c r="E482" s="72"/>
      <c r="F482" t="s">
        <v>107</v>
      </c>
      <c r="G482" s="1">
        <v>45238</v>
      </c>
      <c r="H482" t="s">
        <v>227</v>
      </c>
      <c r="I482" t="s">
        <v>144</v>
      </c>
      <c r="J482" t="s">
        <v>124</v>
      </c>
      <c r="K482" t="s">
        <v>125</v>
      </c>
      <c r="L482" t="s">
        <v>3</v>
      </c>
      <c r="M482" t="s">
        <v>4</v>
      </c>
      <c r="N482" s="2">
        <v>7800</v>
      </c>
      <c r="O482" s="2">
        <v>7813.1040000000003</v>
      </c>
      <c r="P482" s="2">
        <v>6583.1989999999996</v>
      </c>
      <c r="Q482" t="s">
        <v>55</v>
      </c>
      <c r="R482" t="s">
        <v>23</v>
      </c>
      <c r="S482" t="s">
        <v>108</v>
      </c>
      <c r="T482" t="s">
        <v>8</v>
      </c>
    </row>
    <row r="483" spans="1:20" x14ac:dyDescent="0.25">
      <c r="A483" s="56">
        <f>P483</f>
        <v>26191</v>
      </c>
      <c r="B483" s="60" t="s">
        <v>1446</v>
      </c>
      <c r="C483" s="59"/>
      <c r="E483" s="61"/>
      <c r="F483" t="s">
        <v>83</v>
      </c>
      <c r="G483" s="1">
        <v>45238</v>
      </c>
      <c r="H483" t="s">
        <v>225</v>
      </c>
      <c r="I483" t="s">
        <v>95</v>
      </c>
      <c r="J483" t="s">
        <v>1</v>
      </c>
      <c r="K483" t="s">
        <v>2</v>
      </c>
      <c r="L483" t="s">
        <v>3</v>
      </c>
      <c r="M483" t="s">
        <v>4</v>
      </c>
      <c r="N483" s="2">
        <v>31291</v>
      </c>
      <c r="O483" s="2">
        <v>31291</v>
      </c>
      <c r="P483" s="2">
        <v>26191</v>
      </c>
      <c r="Q483" t="s">
        <v>39</v>
      </c>
      <c r="R483" t="s">
        <v>6</v>
      </c>
      <c r="S483" t="s">
        <v>115</v>
      </c>
      <c r="T483" t="s">
        <v>8</v>
      </c>
    </row>
    <row r="484" spans="1:20" x14ac:dyDescent="0.25">
      <c r="A484" s="56">
        <f>P484</f>
        <v>26997</v>
      </c>
      <c r="B484" s="60" t="s">
        <v>1446</v>
      </c>
      <c r="C484" s="59"/>
      <c r="E484" s="61"/>
      <c r="F484" t="s">
        <v>160</v>
      </c>
      <c r="G484" s="1">
        <v>45238</v>
      </c>
      <c r="H484" t="s">
        <v>172</v>
      </c>
      <c r="I484" t="s">
        <v>95</v>
      </c>
      <c r="J484" t="s">
        <v>1</v>
      </c>
      <c r="K484" t="s">
        <v>2</v>
      </c>
      <c r="L484" t="s">
        <v>3</v>
      </c>
      <c r="M484" t="s">
        <v>4</v>
      </c>
      <c r="N484" s="2">
        <v>32254</v>
      </c>
      <c r="O484" s="2">
        <v>32254</v>
      </c>
      <c r="P484" s="2">
        <v>26997</v>
      </c>
      <c r="Q484" t="s">
        <v>39</v>
      </c>
      <c r="R484" t="s">
        <v>6</v>
      </c>
      <c r="S484" t="s">
        <v>161</v>
      </c>
      <c r="T484" t="s">
        <v>8</v>
      </c>
    </row>
    <row r="485" spans="1:20" x14ac:dyDescent="0.25">
      <c r="A485" s="74">
        <f>P485+P486</f>
        <v>25192.239000000001</v>
      </c>
      <c r="B485" s="74" t="str">
        <f>'Весы 08.11.2023'!I85</f>
        <v>25090</v>
      </c>
      <c r="C485" s="70" t="str">
        <f>'Весы 08.11.2023'!K85</f>
        <v>-25</v>
      </c>
      <c r="D485" s="74">
        <f>B485-C485</f>
        <v>25115</v>
      </c>
      <c r="E485" s="72">
        <f>A485-D485</f>
        <v>77.239000000001397</v>
      </c>
      <c r="F485" t="s">
        <v>46</v>
      </c>
      <c r="G485" s="1">
        <v>45238</v>
      </c>
      <c r="H485" t="s">
        <v>151</v>
      </c>
      <c r="I485" t="s">
        <v>53</v>
      </c>
      <c r="J485" t="s">
        <v>11</v>
      </c>
      <c r="K485" t="s">
        <v>12</v>
      </c>
      <c r="L485" t="s">
        <v>3</v>
      </c>
      <c r="M485" t="s">
        <v>4</v>
      </c>
      <c r="N485" s="2">
        <v>19340</v>
      </c>
      <c r="O485" s="2">
        <v>19386.976999999999</v>
      </c>
      <c r="P485" s="2">
        <v>14427.638999999999</v>
      </c>
      <c r="Q485" t="s">
        <v>55</v>
      </c>
      <c r="R485" t="s">
        <v>23</v>
      </c>
      <c r="S485" t="s">
        <v>47</v>
      </c>
      <c r="T485" t="s">
        <v>8</v>
      </c>
    </row>
    <row r="486" spans="1:20" x14ac:dyDescent="0.25">
      <c r="A486" s="74"/>
      <c r="B486" s="74"/>
      <c r="C486" s="71"/>
      <c r="D486" s="74"/>
      <c r="E486" s="72"/>
      <c r="F486" t="s">
        <v>46</v>
      </c>
      <c r="G486" s="1">
        <v>45238</v>
      </c>
      <c r="H486" t="s">
        <v>151</v>
      </c>
      <c r="I486" t="s">
        <v>94</v>
      </c>
      <c r="J486" t="s">
        <v>1</v>
      </c>
      <c r="K486" t="s">
        <v>2</v>
      </c>
      <c r="L486" t="s">
        <v>3</v>
      </c>
      <c r="M486" t="s">
        <v>4</v>
      </c>
      <c r="N486" s="2">
        <v>12815</v>
      </c>
      <c r="O486" s="2">
        <v>12815</v>
      </c>
      <c r="P486" s="2">
        <v>10764.6</v>
      </c>
      <c r="Q486" t="s">
        <v>39</v>
      </c>
      <c r="R486" t="s">
        <v>23</v>
      </c>
      <c r="S486" t="s">
        <v>47</v>
      </c>
      <c r="T486" t="s">
        <v>8</v>
      </c>
    </row>
    <row r="487" spans="1:20" x14ac:dyDescent="0.25">
      <c r="A487" s="74">
        <f>P487+P488+P489</f>
        <v>26359.754999999997</v>
      </c>
      <c r="B487" s="74" t="str">
        <f>'Весы 08.11.2023'!I80</f>
        <v>26210</v>
      </c>
      <c r="C487" s="70" t="str">
        <f>'Весы 08.11.2023'!K80</f>
        <v>-36</v>
      </c>
      <c r="D487" s="74">
        <f>B487-C487</f>
        <v>26246</v>
      </c>
      <c r="E487" s="72">
        <f>A487-D487</f>
        <v>113.75499999999738</v>
      </c>
      <c r="F487" t="s">
        <v>146</v>
      </c>
      <c r="G487" s="1">
        <v>45238</v>
      </c>
      <c r="H487" t="s">
        <v>247</v>
      </c>
      <c r="I487" t="s">
        <v>64</v>
      </c>
      <c r="J487" t="s">
        <v>11</v>
      </c>
      <c r="K487" t="s">
        <v>12</v>
      </c>
      <c r="L487" t="s">
        <v>3</v>
      </c>
      <c r="M487" t="s">
        <v>4</v>
      </c>
      <c r="N487" s="2">
        <v>12215</v>
      </c>
      <c r="O487" s="2">
        <v>12244.609</v>
      </c>
      <c r="P487" s="2">
        <v>9124.6039999999994</v>
      </c>
      <c r="Q487" t="s">
        <v>55</v>
      </c>
      <c r="R487" t="s">
        <v>23</v>
      </c>
      <c r="S487" t="s">
        <v>147</v>
      </c>
      <c r="T487" t="s">
        <v>8</v>
      </c>
    </row>
    <row r="488" spans="1:20" x14ac:dyDescent="0.25">
      <c r="A488" s="74"/>
      <c r="B488" s="74"/>
      <c r="C488" s="71"/>
      <c r="D488" s="74"/>
      <c r="E488" s="72"/>
      <c r="F488" t="s">
        <v>146</v>
      </c>
      <c r="G488" s="1">
        <v>45238</v>
      </c>
      <c r="H488" t="s">
        <v>247</v>
      </c>
      <c r="I488" t="s">
        <v>94</v>
      </c>
      <c r="J488" t="s">
        <v>20</v>
      </c>
      <c r="K488" t="s">
        <v>21</v>
      </c>
      <c r="L488" t="s">
        <v>3</v>
      </c>
      <c r="M488" t="s">
        <v>4</v>
      </c>
      <c r="N488" s="2">
        <v>6020</v>
      </c>
      <c r="O488" s="2">
        <v>6030.18</v>
      </c>
      <c r="P488" s="2">
        <v>5056.8010000000004</v>
      </c>
      <c r="Q488" t="s">
        <v>55</v>
      </c>
      <c r="R488" t="s">
        <v>23</v>
      </c>
      <c r="S488" t="s">
        <v>147</v>
      </c>
      <c r="T488" t="s">
        <v>8</v>
      </c>
    </row>
    <row r="489" spans="1:20" x14ac:dyDescent="0.25">
      <c r="A489" s="74"/>
      <c r="B489" s="74"/>
      <c r="C489" s="71"/>
      <c r="D489" s="74"/>
      <c r="E489" s="72"/>
      <c r="F489" t="s">
        <v>146</v>
      </c>
      <c r="G489" s="1">
        <v>45238</v>
      </c>
      <c r="H489" t="s">
        <v>247</v>
      </c>
      <c r="I489" t="s">
        <v>95</v>
      </c>
      <c r="J489" t="s">
        <v>1</v>
      </c>
      <c r="K489" t="s">
        <v>2</v>
      </c>
      <c r="L489" t="s">
        <v>3</v>
      </c>
      <c r="M489" t="s">
        <v>4</v>
      </c>
      <c r="N489" s="2">
        <v>14550</v>
      </c>
      <c r="O489" s="2">
        <v>14574.779</v>
      </c>
      <c r="P489" s="2">
        <v>12178.35</v>
      </c>
      <c r="Q489" t="s">
        <v>55</v>
      </c>
      <c r="R489" t="s">
        <v>23</v>
      </c>
      <c r="S489" t="s">
        <v>147</v>
      </c>
      <c r="T489" t="s">
        <v>8</v>
      </c>
    </row>
    <row r="490" spans="1:20" x14ac:dyDescent="0.25">
      <c r="E490" s="62">
        <f>SUM(E451:E489)+SUM(E404:E441)</f>
        <v>4315.9700000000012</v>
      </c>
    </row>
  </sheetData>
  <mergeCells count="803">
    <mergeCell ref="S2:S3"/>
    <mergeCell ref="T2:T3"/>
    <mergeCell ref="F1:T1"/>
    <mergeCell ref="E2:E3"/>
    <mergeCell ref="A143:A145"/>
    <mergeCell ref="E143:E145"/>
    <mergeCell ref="B143:B145"/>
    <mergeCell ref="C143:C145"/>
    <mergeCell ref="D143:D145"/>
    <mergeCell ref="A70:A71"/>
    <mergeCell ref="B70:B71"/>
    <mergeCell ref="C70:C71"/>
    <mergeCell ref="D70:D71"/>
    <mergeCell ref="E70:E71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C153:C156"/>
    <mergeCell ref="D153:D156"/>
    <mergeCell ref="E153:E156"/>
    <mergeCell ref="F2:F3"/>
    <mergeCell ref="G2:G3"/>
    <mergeCell ref="H2:H3"/>
    <mergeCell ref="I2:I3"/>
    <mergeCell ref="D422:D424"/>
    <mergeCell ref="D425:D427"/>
    <mergeCell ref="D428:D430"/>
    <mergeCell ref="D431:D433"/>
    <mergeCell ref="D434:D436"/>
    <mergeCell ref="D437:D439"/>
    <mergeCell ref="D440:D441"/>
    <mergeCell ref="A34:A36"/>
    <mergeCell ref="B34:B36"/>
    <mergeCell ref="C34:C36"/>
    <mergeCell ref="D34:D36"/>
    <mergeCell ref="B406:B409"/>
    <mergeCell ref="C406:C409"/>
    <mergeCell ref="D406:D409"/>
    <mergeCell ref="A99:A103"/>
    <mergeCell ref="B99:B103"/>
    <mergeCell ref="C99:C103"/>
    <mergeCell ref="D99:D103"/>
    <mergeCell ref="A168:A170"/>
    <mergeCell ref="B168:B170"/>
    <mergeCell ref="C168:C170"/>
    <mergeCell ref="D168:D170"/>
    <mergeCell ref="A153:A156"/>
    <mergeCell ref="B153:B156"/>
    <mergeCell ref="D387:D388"/>
    <mergeCell ref="D389:D392"/>
    <mergeCell ref="D393:D396"/>
    <mergeCell ref="D397:D398"/>
    <mergeCell ref="D399:D401"/>
    <mergeCell ref="D404:D405"/>
    <mergeCell ref="D410:D413"/>
    <mergeCell ref="D414:D415"/>
    <mergeCell ref="D361:D362"/>
    <mergeCell ref="D363:D365"/>
    <mergeCell ref="D369:D370"/>
    <mergeCell ref="D371:D373"/>
    <mergeCell ref="D374:D376"/>
    <mergeCell ref="D379:D380"/>
    <mergeCell ref="D381:D383"/>
    <mergeCell ref="D384:D386"/>
    <mergeCell ref="D366:D368"/>
    <mergeCell ref="D334:D336"/>
    <mergeCell ref="D337:D339"/>
    <mergeCell ref="D340:D342"/>
    <mergeCell ref="D343:D345"/>
    <mergeCell ref="D346:D348"/>
    <mergeCell ref="D349:D351"/>
    <mergeCell ref="D352:D354"/>
    <mergeCell ref="D355:D357"/>
    <mergeCell ref="D358:D360"/>
    <mergeCell ref="D303:D305"/>
    <mergeCell ref="D306:D307"/>
    <mergeCell ref="D309:D312"/>
    <mergeCell ref="D313:D317"/>
    <mergeCell ref="D318:D320"/>
    <mergeCell ref="D321:D324"/>
    <mergeCell ref="D325:D328"/>
    <mergeCell ref="D329:D331"/>
    <mergeCell ref="D269:D272"/>
    <mergeCell ref="D276:D279"/>
    <mergeCell ref="D280:D282"/>
    <mergeCell ref="D283:D285"/>
    <mergeCell ref="D286:D288"/>
    <mergeCell ref="D289:D291"/>
    <mergeCell ref="D292:D294"/>
    <mergeCell ref="D295:D297"/>
    <mergeCell ref="D298:D300"/>
    <mergeCell ref="D301:D302"/>
    <mergeCell ref="D242:D243"/>
    <mergeCell ref="D244:D247"/>
    <mergeCell ref="D248:D251"/>
    <mergeCell ref="D252:D255"/>
    <mergeCell ref="D256:D258"/>
    <mergeCell ref="D259:D263"/>
    <mergeCell ref="D266:D268"/>
    <mergeCell ref="D273:D275"/>
    <mergeCell ref="D220:D222"/>
    <mergeCell ref="D227:D230"/>
    <mergeCell ref="D231:D233"/>
    <mergeCell ref="D234:D235"/>
    <mergeCell ref="D236:D238"/>
    <mergeCell ref="D239:D241"/>
    <mergeCell ref="D223:D226"/>
    <mergeCell ref="D136:D138"/>
    <mergeCell ref="D217:D219"/>
    <mergeCell ref="D190:D192"/>
    <mergeCell ref="D196:D198"/>
    <mergeCell ref="D199:D200"/>
    <mergeCell ref="D201:D202"/>
    <mergeCell ref="D203:D205"/>
    <mergeCell ref="D206:D208"/>
    <mergeCell ref="D209:D211"/>
    <mergeCell ref="D215:D216"/>
    <mergeCell ref="D193:D195"/>
    <mergeCell ref="D213:D214"/>
    <mergeCell ref="D165:D167"/>
    <mergeCell ref="D174:D176"/>
    <mergeCell ref="D177:D180"/>
    <mergeCell ref="D185:D186"/>
    <mergeCell ref="D187:D189"/>
    <mergeCell ref="D181:D184"/>
    <mergeCell ref="D171:D173"/>
    <mergeCell ref="D139:D142"/>
    <mergeCell ref="D149:D152"/>
    <mergeCell ref="D157:D159"/>
    <mergeCell ref="D160:D162"/>
    <mergeCell ref="D163:D164"/>
    <mergeCell ref="D146:D148"/>
    <mergeCell ref="D104:D106"/>
    <mergeCell ref="D107:D108"/>
    <mergeCell ref="D109:D111"/>
    <mergeCell ref="D112:D114"/>
    <mergeCell ref="D115:D121"/>
    <mergeCell ref="D122:D125"/>
    <mergeCell ref="D126:D129"/>
    <mergeCell ref="D130:D132"/>
    <mergeCell ref="D133:D135"/>
    <mergeCell ref="D80:D82"/>
    <mergeCell ref="D83:D84"/>
    <mergeCell ref="D85:D86"/>
    <mergeCell ref="D87:D89"/>
    <mergeCell ref="D90:D92"/>
    <mergeCell ref="D93:D96"/>
    <mergeCell ref="D97:D98"/>
    <mergeCell ref="D53:D54"/>
    <mergeCell ref="D55:D58"/>
    <mergeCell ref="D59:D61"/>
    <mergeCell ref="D62:D63"/>
    <mergeCell ref="D64:D65"/>
    <mergeCell ref="D66:D68"/>
    <mergeCell ref="D72:D73"/>
    <mergeCell ref="D74:D75"/>
    <mergeCell ref="D76:D79"/>
    <mergeCell ref="E471:E473"/>
    <mergeCell ref="E474:E476"/>
    <mergeCell ref="E477:E478"/>
    <mergeCell ref="E479:E482"/>
    <mergeCell ref="E485:E486"/>
    <mergeCell ref="D487:D489"/>
    <mergeCell ref="C487:C489"/>
    <mergeCell ref="D4:D6"/>
    <mergeCell ref="D7:D8"/>
    <mergeCell ref="D9:D11"/>
    <mergeCell ref="D12:D13"/>
    <mergeCell ref="D14:D15"/>
    <mergeCell ref="D16:D17"/>
    <mergeCell ref="D18:D21"/>
    <mergeCell ref="D22:D24"/>
    <mergeCell ref="D25:D27"/>
    <mergeCell ref="D28:D30"/>
    <mergeCell ref="D31:D33"/>
    <mergeCell ref="D37:D38"/>
    <mergeCell ref="D39:D42"/>
    <mergeCell ref="D44:D46"/>
    <mergeCell ref="D47:D49"/>
    <mergeCell ref="D50:D52"/>
    <mergeCell ref="E445:E450"/>
    <mergeCell ref="E451:E453"/>
    <mergeCell ref="E454:E456"/>
    <mergeCell ref="E457:E459"/>
    <mergeCell ref="E461:E462"/>
    <mergeCell ref="E463:E465"/>
    <mergeCell ref="E466:E468"/>
    <mergeCell ref="E469:E470"/>
    <mergeCell ref="E419:E421"/>
    <mergeCell ref="E422:E424"/>
    <mergeCell ref="E425:E427"/>
    <mergeCell ref="E428:E430"/>
    <mergeCell ref="E431:E433"/>
    <mergeCell ref="E434:E436"/>
    <mergeCell ref="E437:E439"/>
    <mergeCell ref="E440:E441"/>
    <mergeCell ref="E442:E443"/>
    <mergeCell ref="E389:E392"/>
    <mergeCell ref="E393:E396"/>
    <mergeCell ref="E397:E398"/>
    <mergeCell ref="E399:E401"/>
    <mergeCell ref="E404:E405"/>
    <mergeCell ref="E410:E413"/>
    <mergeCell ref="E414:E415"/>
    <mergeCell ref="E416:E418"/>
    <mergeCell ref="E363:E365"/>
    <mergeCell ref="E369:E370"/>
    <mergeCell ref="E371:E373"/>
    <mergeCell ref="E374:E376"/>
    <mergeCell ref="E379:E380"/>
    <mergeCell ref="E381:E383"/>
    <mergeCell ref="E384:E386"/>
    <mergeCell ref="E387:E388"/>
    <mergeCell ref="E366:E368"/>
    <mergeCell ref="E406:E409"/>
    <mergeCell ref="E337:E339"/>
    <mergeCell ref="E340:E342"/>
    <mergeCell ref="E343:E345"/>
    <mergeCell ref="E346:E348"/>
    <mergeCell ref="E349:E351"/>
    <mergeCell ref="E352:E354"/>
    <mergeCell ref="E355:E357"/>
    <mergeCell ref="E358:E360"/>
    <mergeCell ref="E361:E362"/>
    <mergeCell ref="E306:E307"/>
    <mergeCell ref="E309:E312"/>
    <mergeCell ref="E313:E317"/>
    <mergeCell ref="E318:E320"/>
    <mergeCell ref="E321:E324"/>
    <mergeCell ref="E325:E328"/>
    <mergeCell ref="E334:E336"/>
    <mergeCell ref="E329:E331"/>
    <mergeCell ref="E269:E272"/>
    <mergeCell ref="E280:E282"/>
    <mergeCell ref="E283:E285"/>
    <mergeCell ref="E286:E288"/>
    <mergeCell ref="E289:E291"/>
    <mergeCell ref="E292:E294"/>
    <mergeCell ref="E295:E297"/>
    <mergeCell ref="E298:E300"/>
    <mergeCell ref="E301:E302"/>
    <mergeCell ref="E303:E305"/>
    <mergeCell ref="E244:E247"/>
    <mergeCell ref="E248:E251"/>
    <mergeCell ref="E252:E255"/>
    <mergeCell ref="E256:E258"/>
    <mergeCell ref="E259:E263"/>
    <mergeCell ref="E266:E268"/>
    <mergeCell ref="E273:E275"/>
    <mergeCell ref="E276:E279"/>
    <mergeCell ref="E220:E222"/>
    <mergeCell ref="E227:E230"/>
    <mergeCell ref="E231:E233"/>
    <mergeCell ref="E234:E235"/>
    <mergeCell ref="E236:E238"/>
    <mergeCell ref="E239:E241"/>
    <mergeCell ref="E242:E243"/>
    <mergeCell ref="E223:E226"/>
    <mergeCell ref="E196:E198"/>
    <mergeCell ref="E199:E200"/>
    <mergeCell ref="E201:E202"/>
    <mergeCell ref="E203:E205"/>
    <mergeCell ref="E206:E208"/>
    <mergeCell ref="E209:E211"/>
    <mergeCell ref="E215:E216"/>
    <mergeCell ref="E193:E195"/>
    <mergeCell ref="E217:E219"/>
    <mergeCell ref="E213:E214"/>
    <mergeCell ref="E174:E176"/>
    <mergeCell ref="E177:E180"/>
    <mergeCell ref="E185:E186"/>
    <mergeCell ref="E187:E189"/>
    <mergeCell ref="E190:E192"/>
    <mergeCell ref="E181:E184"/>
    <mergeCell ref="E171:E173"/>
    <mergeCell ref="E139:E142"/>
    <mergeCell ref="E149:E152"/>
    <mergeCell ref="E157:E159"/>
    <mergeCell ref="E160:E162"/>
    <mergeCell ref="E163:E164"/>
    <mergeCell ref="E165:E167"/>
    <mergeCell ref="E146:E148"/>
    <mergeCell ref="E168:E170"/>
    <mergeCell ref="E107:E108"/>
    <mergeCell ref="E109:E111"/>
    <mergeCell ref="E112:E114"/>
    <mergeCell ref="E115:E121"/>
    <mergeCell ref="E122:E125"/>
    <mergeCell ref="E126:E129"/>
    <mergeCell ref="E130:E132"/>
    <mergeCell ref="E133:E135"/>
    <mergeCell ref="E136:E138"/>
    <mergeCell ref="E83:E84"/>
    <mergeCell ref="E85:E86"/>
    <mergeCell ref="E87:E89"/>
    <mergeCell ref="E90:E92"/>
    <mergeCell ref="E93:E96"/>
    <mergeCell ref="E97:E98"/>
    <mergeCell ref="E104:E106"/>
    <mergeCell ref="E55:E58"/>
    <mergeCell ref="E59:E61"/>
    <mergeCell ref="E62:E63"/>
    <mergeCell ref="E64:E65"/>
    <mergeCell ref="E66:E68"/>
    <mergeCell ref="E72:E73"/>
    <mergeCell ref="E74:E75"/>
    <mergeCell ref="E76:E79"/>
    <mergeCell ref="E80:E82"/>
    <mergeCell ref="E99:E103"/>
    <mergeCell ref="E28:E30"/>
    <mergeCell ref="E31:E33"/>
    <mergeCell ref="E37:E38"/>
    <mergeCell ref="E39:E42"/>
    <mergeCell ref="E44:E46"/>
    <mergeCell ref="E47:E49"/>
    <mergeCell ref="E50:E52"/>
    <mergeCell ref="E53:E54"/>
    <mergeCell ref="E4:E6"/>
    <mergeCell ref="E7:E8"/>
    <mergeCell ref="E9:E11"/>
    <mergeCell ref="E12:E13"/>
    <mergeCell ref="E14:E15"/>
    <mergeCell ref="E16:E17"/>
    <mergeCell ref="E18:E21"/>
    <mergeCell ref="E22:E24"/>
    <mergeCell ref="E25:E27"/>
    <mergeCell ref="E34:E36"/>
    <mergeCell ref="A469:A470"/>
    <mergeCell ref="A466:A468"/>
    <mergeCell ref="A463:A465"/>
    <mergeCell ref="A461:A462"/>
    <mergeCell ref="A457:A459"/>
    <mergeCell ref="A454:A456"/>
    <mergeCell ref="A487:A489"/>
    <mergeCell ref="A485:A486"/>
    <mergeCell ref="A479:A482"/>
    <mergeCell ref="A477:A478"/>
    <mergeCell ref="A474:A476"/>
    <mergeCell ref="A471:A473"/>
    <mergeCell ref="A410:A413"/>
    <mergeCell ref="A428:A430"/>
    <mergeCell ref="A425:A427"/>
    <mergeCell ref="A419:A421"/>
    <mergeCell ref="A416:A418"/>
    <mergeCell ref="A414:A415"/>
    <mergeCell ref="A422:A424"/>
    <mergeCell ref="A451:A453"/>
    <mergeCell ref="A440:A441"/>
    <mergeCell ref="A437:A439"/>
    <mergeCell ref="A434:A436"/>
    <mergeCell ref="A431:A433"/>
    <mergeCell ref="A445:A450"/>
    <mergeCell ref="A358:A360"/>
    <mergeCell ref="A355:A357"/>
    <mergeCell ref="A352:A354"/>
    <mergeCell ref="A349:A351"/>
    <mergeCell ref="A346:A348"/>
    <mergeCell ref="A343:A345"/>
    <mergeCell ref="A329:A331"/>
    <mergeCell ref="A406:A409"/>
    <mergeCell ref="A374:A376"/>
    <mergeCell ref="A371:A373"/>
    <mergeCell ref="A369:A370"/>
    <mergeCell ref="A361:A362"/>
    <mergeCell ref="A387:A388"/>
    <mergeCell ref="A384:A386"/>
    <mergeCell ref="A379:A380"/>
    <mergeCell ref="A404:A405"/>
    <mergeCell ref="A399:A401"/>
    <mergeCell ref="A397:A398"/>
    <mergeCell ref="A393:A396"/>
    <mergeCell ref="A366:A368"/>
    <mergeCell ref="A363:A365"/>
    <mergeCell ref="A381:A383"/>
    <mergeCell ref="A389:A392"/>
    <mergeCell ref="A318:A320"/>
    <mergeCell ref="A313:A317"/>
    <mergeCell ref="A309:A312"/>
    <mergeCell ref="A306:A307"/>
    <mergeCell ref="A303:A305"/>
    <mergeCell ref="A340:A342"/>
    <mergeCell ref="A337:A339"/>
    <mergeCell ref="A334:A336"/>
    <mergeCell ref="A325:A328"/>
    <mergeCell ref="A321:A324"/>
    <mergeCell ref="A283:A285"/>
    <mergeCell ref="A280:A282"/>
    <mergeCell ref="A276:A279"/>
    <mergeCell ref="A273:A275"/>
    <mergeCell ref="A266:A268"/>
    <mergeCell ref="A301:A302"/>
    <mergeCell ref="A295:A297"/>
    <mergeCell ref="A292:A294"/>
    <mergeCell ref="A289:A291"/>
    <mergeCell ref="A286:A288"/>
    <mergeCell ref="A220:A222"/>
    <mergeCell ref="A234:A235"/>
    <mergeCell ref="A227:A230"/>
    <mergeCell ref="A231:A233"/>
    <mergeCell ref="A223:A226"/>
    <mergeCell ref="A217:A219"/>
    <mergeCell ref="A269:A272"/>
    <mergeCell ref="A236:A238"/>
    <mergeCell ref="A259:A263"/>
    <mergeCell ref="A256:A258"/>
    <mergeCell ref="A252:A255"/>
    <mergeCell ref="A248:A251"/>
    <mergeCell ref="A244:A247"/>
    <mergeCell ref="A201:A202"/>
    <mergeCell ref="A196:A198"/>
    <mergeCell ref="A190:A192"/>
    <mergeCell ref="A187:A189"/>
    <mergeCell ref="A185:A186"/>
    <mergeCell ref="A199:A200"/>
    <mergeCell ref="A181:A184"/>
    <mergeCell ref="A215:A216"/>
    <mergeCell ref="A209:A211"/>
    <mergeCell ref="A203:A205"/>
    <mergeCell ref="A206:A208"/>
    <mergeCell ref="A213:A214"/>
    <mergeCell ref="A130:A132"/>
    <mergeCell ref="A126:A129"/>
    <mergeCell ref="A122:A125"/>
    <mergeCell ref="A112:A114"/>
    <mergeCell ref="A109:A111"/>
    <mergeCell ref="A115:A121"/>
    <mergeCell ref="A171:A173"/>
    <mergeCell ref="A193:A195"/>
    <mergeCell ref="A149:A152"/>
    <mergeCell ref="A139:A142"/>
    <mergeCell ref="A165:A167"/>
    <mergeCell ref="A163:A164"/>
    <mergeCell ref="A160:A162"/>
    <mergeCell ref="A157:A159"/>
    <mergeCell ref="A146:A148"/>
    <mergeCell ref="A177:A180"/>
    <mergeCell ref="A174:A176"/>
    <mergeCell ref="A16:A17"/>
    <mergeCell ref="A14:A15"/>
    <mergeCell ref="A12:A13"/>
    <mergeCell ref="A9:A11"/>
    <mergeCell ref="A4:A6"/>
    <mergeCell ref="A442:A443"/>
    <mergeCell ref="A7:A8"/>
    <mergeCell ref="A76:A79"/>
    <mergeCell ref="A83:A84"/>
    <mergeCell ref="A97:A98"/>
    <mergeCell ref="A31:A33"/>
    <mergeCell ref="A28:A30"/>
    <mergeCell ref="A25:A27"/>
    <mergeCell ref="A22:A24"/>
    <mergeCell ref="A18:A21"/>
    <mergeCell ref="A53:A54"/>
    <mergeCell ref="A50:A52"/>
    <mergeCell ref="A47:A49"/>
    <mergeCell ref="A44:A46"/>
    <mergeCell ref="A39:A42"/>
    <mergeCell ref="A136:A138"/>
    <mergeCell ref="A93:A96"/>
    <mergeCell ref="A90:A92"/>
    <mergeCell ref="A133:A135"/>
    <mergeCell ref="B4:B6"/>
    <mergeCell ref="B7:B8"/>
    <mergeCell ref="B9:B11"/>
    <mergeCell ref="B12:B13"/>
    <mergeCell ref="B14:B15"/>
    <mergeCell ref="B16:B17"/>
    <mergeCell ref="A239:A241"/>
    <mergeCell ref="A242:A243"/>
    <mergeCell ref="A298:A300"/>
    <mergeCell ref="A37:A38"/>
    <mergeCell ref="A72:A73"/>
    <mergeCell ref="A66:A68"/>
    <mergeCell ref="A64:A65"/>
    <mergeCell ref="A62:A63"/>
    <mergeCell ref="A59:A61"/>
    <mergeCell ref="A55:A58"/>
    <mergeCell ref="A87:A89"/>
    <mergeCell ref="A85:A86"/>
    <mergeCell ref="A80:A82"/>
    <mergeCell ref="A74:A75"/>
    <mergeCell ref="A107:A108"/>
    <mergeCell ref="A104:A106"/>
    <mergeCell ref="B37:B38"/>
    <mergeCell ref="B39:B42"/>
    <mergeCell ref="B44:B46"/>
    <mergeCell ref="B47:B49"/>
    <mergeCell ref="B50:B52"/>
    <mergeCell ref="B53:B54"/>
    <mergeCell ref="B18:B21"/>
    <mergeCell ref="B22:B24"/>
    <mergeCell ref="B25:B27"/>
    <mergeCell ref="B28:B30"/>
    <mergeCell ref="B31:B33"/>
    <mergeCell ref="B74:B75"/>
    <mergeCell ref="B76:B79"/>
    <mergeCell ref="B80:B82"/>
    <mergeCell ref="B83:B84"/>
    <mergeCell ref="B85:B86"/>
    <mergeCell ref="B87:B89"/>
    <mergeCell ref="B55:B58"/>
    <mergeCell ref="B59:B61"/>
    <mergeCell ref="B62:B63"/>
    <mergeCell ref="B64:B65"/>
    <mergeCell ref="B66:B68"/>
    <mergeCell ref="B72:B73"/>
    <mergeCell ref="B107:B108"/>
    <mergeCell ref="B109:B111"/>
    <mergeCell ref="B112:B114"/>
    <mergeCell ref="B115:B121"/>
    <mergeCell ref="B122:B125"/>
    <mergeCell ref="B126:B129"/>
    <mergeCell ref="B90:B92"/>
    <mergeCell ref="B93:B96"/>
    <mergeCell ref="B97:B98"/>
    <mergeCell ref="B104:B106"/>
    <mergeCell ref="B157:B159"/>
    <mergeCell ref="B160:B162"/>
    <mergeCell ref="B163:B164"/>
    <mergeCell ref="B165:B167"/>
    <mergeCell ref="B130:B132"/>
    <mergeCell ref="B133:B135"/>
    <mergeCell ref="B139:B142"/>
    <mergeCell ref="B149:B152"/>
    <mergeCell ref="B146:B148"/>
    <mergeCell ref="B136:B138"/>
    <mergeCell ref="B185:B186"/>
    <mergeCell ref="B187:B189"/>
    <mergeCell ref="B190:B192"/>
    <mergeCell ref="B196:B198"/>
    <mergeCell ref="B199:B200"/>
    <mergeCell ref="B174:B176"/>
    <mergeCell ref="B177:B180"/>
    <mergeCell ref="B181:B184"/>
    <mergeCell ref="B171:B173"/>
    <mergeCell ref="B193:B195"/>
    <mergeCell ref="B220:B222"/>
    <mergeCell ref="B227:B230"/>
    <mergeCell ref="B231:B233"/>
    <mergeCell ref="B234:B235"/>
    <mergeCell ref="B201:B202"/>
    <mergeCell ref="B203:B205"/>
    <mergeCell ref="B206:B208"/>
    <mergeCell ref="B209:B211"/>
    <mergeCell ref="B215:B216"/>
    <mergeCell ref="B223:B226"/>
    <mergeCell ref="B217:B219"/>
    <mergeCell ref="B213:B214"/>
    <mergeCell ref="B256:B258"/>
    <mergeCell ref="B259:B263"/>
    <mergeCell ref="B266:B268"/>
    <mergeCell ref="B273:B275"/>
    <mergeCell ref="B276:B279"/>
    <mergeCell ref="B236:B238"/>
    <mergeCell ref="B239:B241"/>
    <mergeCell ref="B242:B243"/>
    <mergeCell ref="B244:B247"/>
    <mergeCell ref="B248:B251"/>
    <mergeCell ref="B252:B255"/>
    <mergeCell ref="B269:B272"/>
    <mergeCell ref="B298:B300"/>
    <mergeCell ref="B301:B302"/>
    <mergeCell ref="B303:B305"/>
    <mergeCell ref="B306:B307"/>
    <mergeCell ref="B309:B312"/>
    <mergeCell ref="B280:B282"/>
    <mergeCell ref="B283:B285"/>
    <mergeCell ref="B286:B288"/>
    <mergeCell ref="B289:B291"/>
    <mergeCell ref="B292:B294"/>
    <mergeCell ref="B295:B297"/>
    <mergeCell ref="B337:B339"/>
    <mergeCell ref="B340:B342"/>
    <mergeCell ref="B343:B345"/>
    <mergeCell ref="B346:B348"/>
    <mergeCell ref="B349:B351"/>
    <mergeCell ref="B352:B354"/>
    <mergeCell ref="B313:B317"/>
    <mergeCell ref="B318:B320"/>
    <mergeCell ref="B321:B324"/>
    <mergeCell ref="B325:B328"/>
    <mergeCell ref="B334:B336"/>
    <mergeCell ref="B329:B331"/>
    <mergeCell ref="B379:B380"/>
    <mergeCell ref="B381:B383"/>
    <mergeCell ref="B384:B386"/>
    <mergeCell ref="B387:B388"/>
    <mergeCell ref="B355:B357"/>
    <mergeCell ref="B358:B360"/>
    <mergeCell ref="B361:B362"/>
    <mergeCell ref="B363:B365"/>
    <mergeCell ref="B369:B370"/>
    <mergeCell ref="B366:B368"/>
    <mergeCell ref="C4:C6"/>
    <mergeCell ref="C7:C8"/>
    <mergeCell ref="C9:C11"/>
    <mergeCell ref="C12:C13"/>
    <mergeCell ref="C14:C15"/>
    <mergeCell ref="C16:C17"/>
    <mergeCell ref="C18:C21"/>
    <mergeCell ref="B463:B465"/>
    <mergeCell ref="B466:B468"/>
    <mergeCell ref="B445:B450"/>
    <mergeCell ref="B451:B453"/>
    <mergeCell ref="B454:B456"/>
    <mergeCell ref="B457:B459"/>
    <mergeCell ref="B461:B462"/>
    <mergeCell ref="B428:B430"/>
    <mergeCell ref="B431:B433"/>
    <mergeCell ref="B434:B436"/>
    <mergeCell ref="B437:B439"/>
    <mergeCell ref="B440:B441"/>
    <mergeCell ref="B442:B443"/>
    <mergeCell ref="B410:B413"/>
    <mergeCell ref="B414:B415"/>
    <mergeCell ref="B416:B418"/>
    <mergeCell ref="C22:C24"/>
    <mergeCell ref="C25:C27"/>
    <mergeCell ref="C28:C30"/>
    <mergeCell ref="C31:C33"/>
    <mergeCell ref="C37:C38"/>
    <mergeCell ref="B479:B482"/>
    <mergeCell ref="B485:B486"/>
    <mergeCell ref="B487:B489"/>
    <mergeCell ref="B469:B470"/>
    <mergeCell ref="B471:B473"/>
    <mergeCell ref="B474:B476"/>
    <mergeCell ref="B477:B478"/>
    <mergeCell ref="B419:B421"/>
    <mergeCell ref="B422:B424"/>
    <mergeCell ref="B425:B427"/>
    <mergeCell ref="B389:B392"/>
    <mergeCell ref="B393:B396"/>
    <mergeCell ref="B397:B398"/>
    <mergeCell ref="B399:B401"/>
    <mergeCell ref="B404:B405"/>
    <mergeCell ref="B371:B373"/>
    <mergeCell ref="B374:B376"/>
    <mergeCell ref="C59:C61"/>
    <mergeCell ref="C62:C63"/>
    <mergeCell ref="C64:C65"/>
    <mergeCell ref="C66:C68"/>
    <mergeCell ref="C72:C73"/>
    <mergeCell ref="C74:C75"/>
    <mergeCell ref="C39:C42"/>
    <mergeCell ref="C44:C46"/>
    <mergeCell ref="C47:C49"/>
    <mergeCell ref="C50:C52"/>
    <mergeCell ref="C53:C54"/>
    <mergeCell ref="C55:C58"/>
    <mergeCell ref="C93:C96"/>
    <mergeCell ref="C97:C98"/>
    <mergeCell ref="C104:C106"/>
    <mergeCell ref="C107:C108"/>
    <mergeCell ref="C76:C79"/>
    <mergeCell ref="C80:C82"/>
    <mergeCell ref="C83:C84"/>
    <mergeCell ref="C85:C86"/>
    <mergeCell ref="C87:C89"/>
    <mergeCell ref="C90:C92"/>
    <mergeCell ref="C133:C135"/>
    <mergeCell ref="C139:C142"/>
    <mergeCell ref="C149:C152"/>
    <mergeCell ref="C109:C111"/>
    <mergeCell ref="C112:C114"/>
    <mergeCell ref="C115:C121"/>
    <mergeCell ref="C122:C125"/>
    <mergeCell ref="C126:C129"/>
    <mergeCell ref="C130:C132"/>
    <mergeCell ref="C146:C148"/>
    <mergeCell ref="C136:C138"/>
    <mergeCell ref="C174:C176"/>
    <mergeCell ref="C177:C180"/>
    <mergeCell ref="C185:C186"/>
    <mergeCell ref="C157:C159"/>
    <mergeCell ref="C160:C162"/>
    <mergeCell ref="C163:C164"/>
    <mergeCell ref="C165:C167"/>
    <mergeCell ref="C181:C184"/>
    <mergeCell ref="C171:C173"/>
    <mergeCell ref="C203:C205"/>
    <mergeCell ref="C206:C208"/>
    <mergeCell ref="C209:C211"/>
    <mergeCell ref="C215:C216"/>
    <mergeCell ref="C220:C222"/>
    <mergeCell ref="C187:C189"/>
    <mergeCell ref="C190:C192"/>
    <mergeCell ref="C196:C198"/>
    <mergeCell ref="C199:C200"/>
    <mergeCell ref="C201:C202"/>
    <mergeCell ref="C193:C195"/>
    <mergeCell ref="C217:C219"/>
    <mergeCell ref="C213:C214"/>
    <mergeCell ref="C223:C226"/>
    <mergeCell ref="C283:C285"/>
    <mergeCell ref="C286:C288"/>
    <mergeCell ref="C289:C291"/>
    <mergeCell ref="C292:C294"/>
    <mergeCell ref="C295:C297"/>
    <mergeCell ref="C298:C300"/>
    <mergeCell ref="C259:C263"/>
    <mergeCell ref="C266:C268"/>
    <mergeCell ref="C273:C275"/>
    <mergeCell ref="C276:C279"/>
    <mergeCell ref="C280:C282"/>
    <mergeCell ref="C269:C272"/>
    <mergeCell ref="C239:C241"/>
    <mergeCell ref="C242:C243"/>
    <mergeCell ref="C244:C247"/>
    <mergeCell ref="C248:C251"/>
    <mergeCell ref="C252:C255"/>
    <mergeCell ref="C256:C258"/>
    <mergeCell ref="C227:C230"/>
    <mergeCell ref="C231:C233"/>
    <mergeCell ref="C234:C235"/>
    <mergeCell ref="C236:C238"/>
    <mergeCell ref="C318:C320"/>
    <mergeCell ref="C321:C324"/>
    <mergeCell ref="C325:C328"/>
    <mergeCell ref="C334:C336"/>
    <mergeCell ref="C337:C339"/>
    <mergeCell ref="C301:C302"/>
    <mergeCell ref="C303:C305"/>
    <mergeCell ref="C306:C307"/>
    <mergeCell ref="C309:C312"/>
    <mergeCell ref="C313:C317"/>
    <mergeCell ref="C329:C331"/>
    <mergeCell ref="C358:C360"/>
    <mergeCell ref="C361:C362"/>
    <mergeCell ref="C363:C365"/>
    <mergeCell ref="C369:C370"/>
    <mergeCell ref="C371:C373"/>
    <mergeCell ref="C340:C342"/>
    <mergeCell ref="C343:C345"/>
    <mergeCell ref="C346:C348"/>
    <mergeCell ref="C349:C351"/>
    <mergeCell ref="C352:C354"/>
    <mergeCell ref="C355:C357"/>
    <mergeCell ref="C366:C368"/>
    <mergeCell ref="C393:C396"/>
    <mergeCell ref="C397:C398"/>
    <mergeCell ref="C399:C401"/>
    <mergeCell ref="C404:C405"/>
    <mergeCell ref="C410:C413"/>
    <mergeCell ref="C374:C376"/>
    <mergeCell ref="C379:C380"/>
    <mergeCell ref="C381:C383"/>
    <mergeCell ref="C384:C386"/>
    <mergeCell ref="C387:C388"/>
    <mergeCell ref="C389:C392"/>
    <mergeCell ref="D477:D478"/>
    <mergeCell ref="D479:D482"/>
    <mergeCell ref="D485:D486"/>
    <mergeCell ref="C431:C433"/>
    <mergeCell ref="C434:C436"/>
    <mergeCell ref="C437:C439"/>
    <mergeCell ref="C440:C441"/>
    <mergeCell ref="C442:C443"/>
    <mergeCell ref="C414:C415"/>
    <mergeCell ref="C416:C418"/>
    <mergeCell ref="C419:C421"/>
    <mergeCell ref="C422:C424"/>
    <mergeCell ref="C425:C427"/>
    <mergeCell ref="C428:C430"/>
    <mergeCell ref="D442:D443"/>
    <mergeCell ref="D445:D450"/>
    <mergeCell ref="D451:D453"/>
    <mergeCell ref="D454:D456"/>
    <mergeCell ref="D457:D459"/>
    <mergeCell ref="D461:D462"/>
    <mergeCell ref="D463:D465"/>
    <mergeCell ref="D466:D468"/>
    <mergeCell ref="D416:D418"/>
    <mergeCell ref="D419:D421"/>
    <mergeCell ref="A1:E1"/>
    <mergeCell ref="A2:A3"/>
    <mergeCell ref="B2:B3"/>
    <mergeCell ref="C2:C3"/>
    <mergeCell ref="D2:D3"/>
    <mergeCell ref="E264:E265"/>
    <mergeCell ref="C485:C486"/>
    <mergeCell ref="E487:E489"/>
    <mergeCell ref="C466:C468"/>
    <mergeCell ref="C469:C470"/>
    <mergeCell ref="C471:C473"/>
    <mergeCell ref="C474:C476"/>
    <mergeCell ref="C477:C478"/>
    <mergeCell ref="C479:C482"/>
    <mergeCell ref="C445:C450"/>
    <mergeCell ref="C451:C453"/>
    <mergeCell ref="C454:C456"/>
    <mergeCell ref="C457:C459"/>
    <mergeCell ref="C461:C462"/>
    <mergeCell ref="C463:C465"/>
    <mergeCell ref="D469:D470"/>
    <mergeCell ref="D471:D473"/>
    <mergeCell ref="D474:D47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Views>
    <sheetView topLeftCell="A54" workbookViewId="0">
      <selection activeCell="I57" sqref="I57:J57"/>
    </sheetView>
  </sheetViews>
  <sheetFormatPr defaultColWidth="9.109375" defaultRowHeight="14.4" x14ac:dyDescent="0.3"/>
  <cols>
    <col min="1" max="1" width="11.109375" style="3" customWidth="1"/>
    <col min="2" max="3" width="0.88671875" style="3" customWidth="1"/>
    <col min="4" max="4" width="12.5546875" style="3" customWidth="1"/>
    <col min="5" max="5" width="10.109375" style="3" customWidth="1"/>
    <col min="6" max="8" width="7.88671875" style="3" customWidth="1"/>
    <col min="9" max="9" width="4.44140625" style="39" customWidth="1"/>
    <col min="10" max="10" width="4" style="39" customWidth="1"/>
    <col min="11" max="12" width="7.33203125" style="3" customWidth="1"/>
    <col min="13" max="13" width="1.5546875" style="3" customWidth="1"/>
    <col min="14" max="14" width="7.88671875" style="3" customWidth="1"/>
    <col min="15" max="15" width="8.33203125" style="3" customWidth="1"/>
    <col min="16" max="256" width="9.109375" style="3"/>
    <col min="257" max="257" width="11.109375" style="3" customWidth="1"/>
    <col min="258" max="259" width="0.88671875" style="3" customWidth="1"/>
    <col min="260" max="260" width="12.5546875" style="3" customWidth="1"/>
    <col min="261" max="261" width="10.109375" style="3" customWidth="1"/>
    <col min="262" max="264" width="7.88671875" style="3" customWidth="1"/>
    <col min="265" max="265" width="4.44140625" style="3" customWidth="1"/>
    <col min="266" max="266" width="4" style="3" customWidth="1"/>
    <col min="267" max="268" width="7.33203125" style="3" customWidth="1"/>
    <col min="269" max="269" width="1.5546875" style="3" customWidth="1"/>
    <col min="270" max="270" width="7.88671875" style="3" customWidth="1"/>
    <col min="271" max="271" width="8.33203125" style="3" customWidth="1"/>
    <col min="272" max="512" width="9.109375" style="3"/>
    <col min="513" max="513" width="11.109375" style="3" customWidth="1"/>
    <col min="514" max="515" width="0.88671875" style="3" customWidth="1"/>
    <col min="516" max="516" width="12.5546875" style="3" customWidth="1"/>
    <col min="517" max="517" width="10.109375" style="3" customWidth="1"/>
    <col min="518" max="520" width="7.88671875" style="3" customWidth="1"/>
    <col min="521" max="521" width="4.44140625" style="3" customWidth="1"/>
    <col min="522" max="522" width="4" style="3" customWidth="1"/>
    <col min="523" max="524" width="7.33203125" style="3" customWidth="1"/>
    <col min="525" max="525" width="1.5546875" style="3" customWidth="1"/>
    <col min="526" max="526" width="7.88671875" style="3" customWidth="1"/>
    <col min="527" max="527" width="8.33203125" style="3" customWidth="1"/>
    <col min="528" max="768" width="9.109375" style="3"/>
    <col min="769" max="769" width="11.109375" style="3" customWidth="1"/>
    <col min="770" max="771" width="0.88671875" style="3" customWidth="1"/>
    <col min="772" max="772" width="12.5546875" style="3" customWidth="1"/>
    <col min="773" max="773" width="10.109375" style="3" customWidth="1"/>
    <col min="774" max="776" width="7.88671875" style="3" customWidth="1"/>
    <col min="777" max="777" width="4.44140625" style="3" customWidth="1"/>
    <col min="778" max="778" width="4" style="3" customWidth="1"/>
    <col min="779" max="780" width="7.33203125" style="3" customWidth="1"/>
    <col min="781" max="781" width="1.5546875" style="3" customWidth="1"/>
    <col min="782" max="782" width="7.88671875" style="3" customWidth="1"/>
    <col min="783" max="783" width="8.33203125" style="3" customWidth="1"/>
    <col min="784" max="1024" width="9.109375" style="3"/>
    <col min="1025" max="1025" width="11.109375" style="3" customWidth="1"/>
    <col min="1026" max="1027" width="0.88671875" style="3" customWidth="1"/>
    <col min="1028" max="1028" width="12.5546875" style="3" customWidth="1"/>
    <col min="1029" max="1029" width="10.109375" style="3" customWidth="1"/>
    <col min="1030" max="1032" width="7.88671875" style="3" customWidth="1"/>
    <col min="1033" max="1033" width="4.44140625" style="3" customWidth="1"/>
    <col min="1034" max="1034" width="4" style="3" customWidth="1"/>
    <col min="1035" max="1036" width="7.33203125" style="3" customWidth="1"/>
    <col min="1037" max="1037" width="1.5546875" style="3" customWidth="1"/>
    <col min="1038" max="1038" width="7.88671875" style="3" customWidth="1"/>
    <col min="1039" max="1039" width="8.33203125" style="3" customWidth="1"/>
    <col min="1040" max="1280" width="9.109375" style="3"/>
    <col min="1281" max="1281" width="11.109375" style="3" customWidth="1"/>
    <col min="1282" max="1283" width="0.88671875" style="3" customWidth="1"/>
    <col min="1284" max="1284" width="12.5546875" style="3" customWidth="1"/>
    <col min="1285" max="1285" width="10.109375" style="3" customWidth="1"/>
    <col min="1286" max="1288" width="7.88671875" style="3" customWidth="1"/>
    <col min="1289" max="1289" width="4.44140625" style="3" customWidth="1"/>
    <col min="1290" max="1290" width="4" style="3" customWidth="1"/>
    <col min="1291" max="1292" width="7.33203125" style="3" customWidth="1"/>
    <col min="1293" max="1293" width="1.5546875" style="3" customWidth="1"/>
    <col min="1294" max="1294" width="7.88671875" style="3" customWidth="1"/>
    <col min="1295" max="1295" width="8.33203125" style="3" customWidth="1"/>
    <col min="1296" max="1536" width="9.109375" style="3"/>
    <col min="1537" max="1537" width="11.109375" style="3" customWidth="1"/>
    <col min="1538" max="1539" width="0.88671875" style="3" customWidth="1"/>
    <col min="1540" max="1540" width="12.5546875" style="3" customWidth="1"/>
    <col min="1541" max="1541" width="10.109375" style="3" customWidth="1"/>
    <col min="1542" max="1544" width="7.88671875" style="3" customWidth="1"/>
    <col min="1545" max="1545" width="4.44140625" style="3" customWidth="1"/>
    <col min="1546" max="1546" width="4" style="3" customWidth="1"/>
    <col min="1547" max="1548" width="7.33203125" style="3" customWidth="1"/>
    <col min="1549" max="1549" width="1.5546875" style="3" customWidth="1"/>
    <col min="1550" max="1550" width="7.88671875" style="3" customWidth="1"/>
    <col min="1551" max="1551" width="8.33203125" style="3" customWidth="1"/>
    <col min="1552" max="1792" width="9.109375" style="3"/>
    <col min="1793" max="1793" width="11.109375" style="3" customWidth="1"/>
    <col min="1794" max="1795" width="0.88671875" style="3" customWidth="1"/>
    <col min="1796" max="1796" width="12.5546875" style="3" customWidth="1"/>
    <col min="1797" max="1797" width="10.109375" style="3" customWidth="1"/>
    <col min="1798" max="1800" width="7.88671875" style="3" customWidth="1"/>
    <col min="1801" max="1801" width="4.44140625" style="3" customWidth="1"/>
    <col min="1802" max="1802" width="4" style="3" customWidth="1"/>
    <col min="1803" max="1804" width="7.33203125" style="3" customWidth="1"/>
    <col min="1805" max="1805" width="1.5546875" style="3" customWidth="1"/>
    <col min="1806" max="1806" width="7.88671875" style="3" customWidth="1"/>
    <col min="1807" max="1807" width="8.33203125" style="3" customWidth="1"/>
    <col min="1808" max="2048" width="9.109375" style="3"/>
    <col min="2049" max="2049" width="11.109375" style="3" customWidth="1"/>
    <col min="2050" max="2051" width="0.88671875" style="3" customWidth="1"/>
    <col min="2052" max="2052" width="12.5546875" style="3" customWidth="1"/>
    <col min="2053" max="2053" width="10.109375" style="3" customWidth="1"/>
    <col min="2054" max="2056" width="7.88671875" style="3" customWidth="1"/>
    <col min="2057" max="2057" width="4.44140625" style="3" customWidth="1"/>
    <col min="2058" max="2058" width="4" style="3" customWidth="1"/>
    <col min="2059" max="2060" width="7.33203125" style="3" customWidth="1"/>
    <col min="2061" max="2061" width="1.5546875" style="3" customWidth="1"/>
    <col min="2062" max="2062" width="7.88671875" style="3" customWidth="1"/>
    <col min="2063" max="2063" width="8.33203125" style="3" customWidth="1"/>
    <col min="2064" max="2304" width="9.109375" style="3"/>
    <col min="2305" max="2305" width="11.109375" style="3" customWidth="1"/>
    <col min="2306" max="2307" width="0.88671875" style="3" customWidth="1"/>
    <col min="2308" max="2308" width="12.5546875" style="3" customWidth="1"/>
    <col min="2309" max="2309" width="10.109375" style="3" customWidth="1"/>
    <col min="2310" max="2312" width="7.88671875" style="3" customWidth="1"/>
    <col min="2313" max="2313" width="4.44140625" style="3" customWidth="1"/>
    <col min="2314" max="2314" width="4" style="3" customWidth="1"/>
    <col min="2315" max="2316" width="7.33203125" style="3" customWidth="1"/>
    <col min="2317" max="2317" width="1.5546875" style="3" customWidth="1"/>
    <col min="2318" max="2318" width="7.88671875" style="3" customWidth="1"/>
    <col min="2319" max="2319" width="8.33203125" style="3" customWidth="1"/>
    <col min="2320" max="2560" width="9.109375" style="3"/>
    <col min="2561" max="2561" width="11.109375" style="3" customWidth="1"/>
    <col min="2562" max="2563" width="0.88671875" style="3" customWidth="1"/>
    <col min="2564" max="2564" width="12.5546875" style="3" customWidth="1"/>
    <col min="2565" max="2565" width="10.109375" style="3" customWidth="1"/>
    <col min="2566" max="2568" width="7.88671875" style="3" customWidth="1"/>
    <col min="2569" max="2569" width="4.44140625" style="3" customWidth="1"/>
    <col min="2570" max="2570" width="4" style="3" customWidth="1"/>
    <col min="2571" max="2572" width="7.33203125" style="3" customWidth="1"/>
    <col min="2573" max="2573" width="1.5546875" style="3" customWidth="1"/>
    <col min="2574" max="2574" width="7.88671875" style="3" customWidth="1"/>
    <col min="2575" max="2575" width="8.33203125" style="3" customWidth="1"/>
    <col min="2576" max="2816" width="9.109375" style="3"/>
    <col min="2817" max="2817" width="11.109375" style="3" customWidth="1"/>
    <col min="2818" max="2819" width="0.88671875" style="3" customWidth="1"/>
    <col min="2820" max="2820" width="12.5546875" style="3" customWidth="1"/>
    <col min="2821" max="2821" width="10.109375" style="3" customWidth="1"/>
    <col min="2822" max="2824" width="7.88671875" style="3" customWidth="1"/>
    <col min="2825" max="2825" width="4.44140625" style="3" customWidth="1"/>
    <col min="2826" max="2826" width="4" style="3" customWidth="1"/>
    <col min="2827" max="2828" width="7.33203125" style="3" customWidth="1"/>
    <col min="2829" max="2829" width="1.5546875" style="3" customWidth="1"/>
    <col min="2830" max="2830" width="7.88671875" style="3" customWidth="1"/>
    <col min="2831" max="2831" width="8.33203125" style="3" customWidth="1"/>
    <col min="2832" max="3072" width="9.109375" style="3"/>
    <col min="3073" max="3073" width="11.109375" style="3" customWidth="1"/>
    <col min="3074" max="3075" width="0.88671875" style="3" customWidth="1"/>
    <col min="3076" max="3076" width="12.5546875" style="3" customWidth="1"/>
    <col min="3077" max="3077" width="10.109375" style="3" customWidth="1"/>
    <col min="3078" max="3080" width="7.88671875" style="3" customWidth="1"/>
    <col min="3081" max="3081" width="4.44140625" style="3" customWidth="1"/>
    <col min="3082" max="3082" width="4" style="3" customWidth="1"/>
    <col min="3083" max="3084" width="7.33203125" style="3" customWidth="1"/>
    <col min="3085" max="3085" width="1.5546875" style="3" customWidth="1"/>
    <col min="3086" max="3086" width="7.88671875" style="3" customWidth="1"/>
    <col min="3087" max="3087" width="8.33203125" style="3" customWidth="1"/>
    <col min="3088" max="3328" width="9.109375" style="3"/>
    <col min="3329" max="3329" width="11.109375" style="3" customWidth="1"/>
    <col min="3330" max="3331" width="0.88671875" style="3" customWidth="1"/>
    <col min="3332" max="3332" width="12.5546875" style="3" customWidth="1"/>
    <col min="3333" max="3333" width="10.109375" style="3" customWidth="1"/>
    <col min="3334" max="3336" width="7.88671875" style="3" customWidth="1"/>
    <col min="3337" max="3337" width="4.44140625" style="3" customWidth="1"/>
    <col min="3338" max="3338" width="4" style="3" customWidth="1"/>
    <col min="3339" max="3340" width="7.33203125" style="3" customWidth="1"/>
    <col min="3341" max="3341" width="1.5546875" style="3" customWidth="1"/>
    <col min="3342" max="3342" width="7.88671875" style="3" customWidth="1"/>
    <col min="3343" max="3343" width="8.33203125" style="3" customWidth="1"/>
    <col min="3344" max="3584" width="9.109375" style="3"/>
    <col min="3585" max="3585" width="11.109375" style="3" customWidth="1"/>
    <col min="3586" max="3587" width="0.88671875" style="3" customWidth="1"/>
    <col min="3588" max="3588" width="12.5546875" style="3" customWidth="1"/>
    <col min="3589" max="3589" width="10.109375" style="3" customWidth="1"/>
    <col min="3590" max="3592" width="7.88671875" style="3" customWidth="1"/>
    <col min="3593" max="3593" width="4.44140625" style="3" customWidth="1"/>
    <col min="3594" max="3594" width="4" style="3" customWidth="1"/>
    <col min="3595" max="3596" width="7.33203125" style="3" customWidth="1"/>
    <col min="3597" max="3597" width="1.5546875" style="3" customWidth="1"/>
    <col min="3598" max="3598" width="7.88671875" style="3" customWidth="1"/>
    <col min="3599" max="3599" width="8.33203125" style="3" customWidth="1"/>
    <col min="3600" max="3840" width="9.109375" style="3"/>
    <col min="3841" max="3841" width="11.109375" style="3" customWidth="1"/>
    <col min="3842" max="3843" width="0.88671875" style="3" customWidth="1"/>
    <col min="3844" max="3844" width="12.5546875" style="3" customWidth="1"/>
    <col min="3845" max="3845" width="10.109375" style="3" customWidth="1"/>
    <col min="3846" max="3848" width="7.88671875" style="3" customWidth="1"/>
    <col min="3849" max="3849" width="4.44140625" style="3" customWidth="1"/>
    <col min="3850" max="3850" width="4" style="3" customWidth="1"/>
    <col min="3851" max="3852" width="7.33203125" style="3" customWidth="1"/>
    <col min="3853" max="3853" width="1.5546875" style="3" customWidth="1"/>
    <col min="3854" max="3854" width="7.88671875" style="3" customWidth="1"/>
    <col min="3855" max="3855" width="8.33203125" style="3" customWidth="1"/>
    <col min="3856" max="4096" width="9.109375" style="3"/>
    <col min="4097" max="4097" width="11.109375" style="3" customWidth="1"/>
    <col min="4098" max="4099" width="0.88671875" style="3" customWidth="1"/>
    <col min="4100" max="4100" width="12.5546875" style="3" customWidth="1"/>
    <col min="4101" max="4101" width="10.109375" style="3" customWidth="1"/>
    <col min="4102" max="4104" width="7.88671875" style="3" customWidth="1"/>
    <col min="4105" max="4105" width="4.44140625" style="3" customWidth="1"/>
    <col min="4106" max="4106" width="4" style="3" customWidth="1"/>
    <col min="4107" max="4108" width="7.33203125" style="3" customWidth="1"/>
    <col min="4109" max="4109" width="1.5546875" style="3" customWidth="1"/>
    <col min="4110" max="4110" width="7.88671875" style="3" customWidth="1"/>
    <col min="4111" max="4111" width="8.33203125" style="3" customWidth="1"/>
    <col min="4112" max="4352" width="9.109375" style="3"/>
    <col min="4353" max="4353" width="11.109375" style="3" customWidth="1"/>
    <col min="4354" max="4355" width="0.88671875" style="3" customWidth="1"/>
    <col min="4356" max="4356" width="12.5546875" style="3" customWidth="1"/>
    <col min="4357" max="4357" width="10.109375" style="3" customWidth="1"/>
    <col min="4358" max="4360" width="7.88671875" style="3" customWidth="1"/>
    <col min="4361" max="4361" width="4.44140625" style="3" customWidth="1"/>
    <col min="4362" max="4362" width="4" style="3" customWidth="1"/>
    <col min="4363" max="4364" width="7.33203125" style="3" customWidth="1"/>
    <col min="4365" max="4365" width="1.5546875" style="3" customWidth="1"/>
    <col min="4366" max="4366" width="7.88671875" style="3" customWidth="1"/>
    <col min="4367" max="4367" width="8.33203125" style="3" customWidth="1"/>
    <col min="4368" max="4608" width="9.109375" style="3"/>
    <col min="4609" max="4609" width="11.109375" style="3" customWidth="1"/>
    <col min="4610" max="4611" width="0.88671875" style="3" customWidth="1"/>
    <col min="4612" max="4612" width="12.5546875" style="3" customWidth="1"/>
    <col min="4613" max="4613" width="10.109375" style="3" customWidth="1"/>
    <col min="4614" max="4616" width="7.88671875" style="3" customWidth="1"/>
    <col min="4617" max="4617" width="4.44140625" style="3" customWidth="1"/>
    <col min="4618" max="4618" width="4" style="3" customWidth="1"/>
    <col min="4619" max="4620" width="7.33203125" style="3" customWidth="1"/>
    <col min="4621" max="4621" width="1.5546875" style="3" customWidth="1"/>
    <col min="4622" max="4622" width="7.88671875" style="3" customWidth="1"/>
    <col min="4623" max="4623" width="8.33203125" style="3" customWidth="1"/>
    <col min="4624" max="4864" width="9.109375" style="3"/>
    <col min="4865" max="4865" width="11.109375" style="3" customWidth="1"/>
    <col min="4866" max="4867" width="0.88671875" style="3" customWidth="1"/>
    <col min="4868" max="4868" width="12.5546875" style="3" customWidth="1"/>
    <col min="4869" max="4869" width="10.109375" style="3" customWidth="1"/>
    <col min="4870" max="4872" width="7.88671875" style="3" customWidth="1"/>
    <col min="4873" max="4873" width="4.44140625" style="3" customWidth="1"/>
    <col min="4874" max="4874" width="4" style="3" customWidth="1"/>
    <col min="4875" max="4876" width="7.33203125" style="3" customWidth="1"/>
    <col min="4877" max="4877" width="1.5546875" style="3" customWidth="1"/>
    <col min="4878" max="4878" width="7.88671875" style="3" customWidth="1"/>
    <col min="4879" max="4879" width="8.33203125" style="3" customWidth="1"/>
    <col min="4880" max="5120" width="9.109375" style="3"/>
    <col min="5121" max="5121" width="11.109375" style="3" customWidth="1"/>
    <col min="5122" max="5123" width="0.88671875" style="3" customWidth="1"/>
    <col min="5124" max="5124" width="12.5546875" style="3" customWidth="1"/>
    <col min="5125" max="5125" width="10.109375" style="3" customWidth="1"/>
    <col min="5126" max="5128" width="7.88671875" style="3" customWidth="1"/>
    <col min="5129" max="5129" width="4.44140625" style="3" customWidth="1"/>
    <col min="5130" max="5130" width="4" style="3" customWidth="1"/>
    <col min="5131" max="5132" width="7.33203125" style="3" customWidth="1"/>
    <col min="5133" max="5133" width="1.5546875" style="3" customWidth="1"/>
    <col min="5134" max="5134" width="7.88671875" style="3" customWidth="1"/>
    <col min="5135" max="5135" width="8.33203125" style="3" customWidth="1"/>
    <col min="5136" max="5376" width="9.109375" style="3"/>
    <col min="5377" max="5377" width="11.109375" style="3" customWidth="1"/>
    <col min="5378" max="5379" width="0.88671875" style="3" customWidth="1"/>
    <col min="5380" max="5380" width="12.5546875" style="3" customWidth="1"/>
    <col min="5381" max="5381" width="10.109375" style="3" customWidth="1"/>
    <col min="5382" max="5384" width="7.88671875" style="3" customWidth="1"/>
    <col min="5385" max="5385" width="4.44140625" style="3" customWidth="1"/>
    <col min="5386" max="5386" width="4" style="3" customWidth="1"/>
    <col min="5387" max="5388" width="7.33203125" style="3" customWidth="1"/>
    <col min="5389" max="5389" width="1.5546875" style="3" customWidth="1"/>
    <col min="5390" max="5390" width="7.88671875" style="3" customWidth="1"/>
    <col min="5391" max="5391" width="8.33203125" style="3" customWidth="1"/>
    <col min="5392" max="5632" width="9.109375" style="3"/>
    <col min="5633" max="5633" width="11.109375" style="3" customWidth="1"/>
    <col min="5634" max="5635" width="0.88671875" style="3" customWidth="1"/>
    <col min="5636" max="5636" width="12.5546875" style="3" customWidth="1"/>
    <col min="5637" max="5637" width="10.109375" style="3" customWidth="1"/>
    <col min="5638" max="5640" width="7.88671875" style="3" customWidth="1"/>
    <col min="5641" max="5641" width="4.44140625" style="3" customWidth="1"/>
    <col min="5642" max="5642" width="4" style="3" customWidth="1"/>
    <col min="5643" max="5644" width="7.33203125" style="3" customWidth="1"/>
    <col min="5645" max="5645" width="1.5546875" style="3" customWidth="1"/>
    <col min="5646" max="5646" width="7.88671875" style="3" customWidth="1"/>
    <col min="5647" max="5647" width="8.33203125" style="3" customWidth="1"/>
    <col min="5648" max="5888" width="9.109375" style="3"/>
    <col min="5889" max="5889" width="11.109375" style="3" customWidth="1"/>
    <col min="5890" max="5891" width="0.88671875" style="3" customWidth="1"/>
    <col min="5892" max="5892" width="12.5546875" style="3" customWidth="1"/>
    <col min="5893" max="5893" width="10.109375" style="3" customWidth="1"/>
    <col min="5894" max="5896" width="7.88671875" style="3" customWidth="1"/>
    <col min="5897" max="5897" width="4.44140625" style="3" customWidth="1"/>
    <col min="5898" max="5898" width="4" style="3" customWidth="1"/>
    <col min="5899" max="5900" width="7.33203125" style="3" customWidth="1"/>
    <col min="5901" max="5901" width="1.5546875" style="3" customWidth="1"/>
    <col min="5902" max="5902" width="7.88671875" style="3" customWidth="1"/>
    <col min="5903" max="5903" width="8.33203125" style="3" customWidth="1"/>
    <col min="5904" max="6144" width="9.109375" style="3"/>
    <col min="6145" max="6145" width="11.109375" style="3" customWidth="1"/>
    <col min="6146" max="6147" width="0.88671875" style="3" customWidth="1"/>
    <col min="6148" max="6148" width="12.5546875" style="3" customWidth="1"/>
    <col min="6149" max="6149" width="10.109375" style="3" customWidth="1"/>
    <col min="6150" max="6152" width="7.88671875" style="3" customWidth="1"/>
    <col min="6153" max="6153" width="4.44140625" style="3" customWidth="1"/>
    <col min="6154" max="6154" width="4" style="3" customWidth="1"/>
    <col min="6155" max="6156" width="7.33203125" style="3" customWidth="1"/>
    <col min="6157" max="6157" width="1.5546875" style="3" customWidth="1"/>
    <col min="6158" max="6158" width="7.88671875" style="3" customWidth="1"/>
    <col min="6159" max="6159" width="8.33203125" style="3" customWidth="1"/>
    <col min="6160" max="6400" width="9.109375" style="3"/>
    <col min="6401" max="6401" width="11.109375" style="3" customWidth="1"/>
    <col min="6402" max="6403" width="0.88671875" style="3" customWidth="1"/>
    <col min="6404" max="6404" width="12.5546875" style="3" customWidth="1"/>
    <col min="6405" max="6405" width="10.109375" style="3" customWidth="1"/>
    <col min="6406" max="6408" width="7.88671875" style="3" customWidth="1"/>
    <col min="6409" max="6409" width="4.44140625" style="3" customWidth="1"/>
    <col min="6410" max="6410" width="4" style="3" customWidth="1"/>
    <col min="6411" max="6412" width="7.33203125" style="3" customWidth="1"/>
    <col min="6413" max="6413" width="1.5546875" style="3" customWidth="1"/>
    <col min="6414" max="6414" width="7.88671875" style="3" customWidth="1"/>
    <col min="6415" max="6415" width="8.33203125" style="3" customWidth="1"/>
    <col min="6416" max="6656" width="9.109375" style="3"/>
    <col min="6657" max="6657" width="11.109375" style="3" customWidth="1"/>
    <col min="6658" max="6659" width="0.88671875" style="3" customWidth="1"/>
    <col min="6660" max="6660" width="12.5546875" style="3" customWidth="1"/>
    <col min="6661" max="6661" width="10.109375" style="3" customWidth="1"/>
    <col min="6662" max="6664" width="7.88671875" style="3" customWidth="1"/>
    <col min="6665" max="6665" width="4.44140625" style="3" customWidth="1"/>
    <col min="6666" max="6666" width="4" style="3" customWidth="1"/>
    <col min="6667" max="6668" width="7.33203125" style="3" customWidth="1"/>
    <col min="6669" max="6669" width="1.5546875" style="3" customWidth="1"/>
    <col min="6670" max="6670" width="7.88671875" style="3" customWidth="1"/>
    <col min="6671" max="6671" width="8.33203125" style="3" customWidth="1"/>
    <col min="6672" max="6912" width="9.109375" style="3"/>
    <col min="6913" max="6913" width="11.109375" style="3" customWidth="1"/>
    <col min="6914" max="6915" width="0.88671875" style="3" customWidth="1"/>
    <col min="6916" max="6916" width="12.5546875" style="3" customWidth="1"/>
    <col min="6917" max="6917" width="10.109375" style="3" customWidth="1"/>
    <col min="6918" max="6920" width="7.88671875" style="3" customWidth="1"/>
    <col min="6921" max="6921" width="4.44140625" style="3" customWidth="1"/>
    <col min="6922" max="6922" width="4" style="3" customWidth="1"/>
    <col min="6923" max="6924" width="7.33203125" style="3" customWidth="1"/>
    <col min="6925" max="6925" width="1.5546875" style="3" customWidth="1"/>
    <col min="6926" max="6926" width="7.88671875" style="3" customWidth="1"/>
    <col min="6927" max="6927" width="8.33203125" style="3" customWidth="1"/>
    <col min="6928" max="7168" width="9.109375" style="3"/>
    <col min="7169" max="7169" width="11.109375" style="3" customWidth="1"/>
    <col min="7170" max="7171" width="0.88671875" style="3" customWidth="1"/>
    <col min="7172" max="7172" width="12.5546875" style="3" customWidth="1"/>
    <col min="7173" max="7173" width="10.109375" style="3" customWidth="1"/>
    <col min="7174" max="7176" width="7.88671875" style="3" customWidth="1"/>
    <col min="7177" max="7177" width="4.44140625" style="3" customWidth="1"/>
    <col min="7178" max="7178" width="4" style="3" customWidth="1"/>
    <col min="7179" max="7180" width="7.33203125" style="3" customWidth="1"/>
    <col min="7181" max="7181" width="1.5546875" style="3" customWidth="1"/>
    <col min="7182" max="7182" width="7.88671875" style="3" customWidth="1"/>
    <col min="7183" max="7183" width="8.33203125" style="3" customWidth="1"/>
    <col min="7184" max="7424" width="9.109375" style="3"/>
    <col min="7425" max="7425" width="11.109375" style="3" customWidth="1"/>
    <col min="7426" max="7427" width="0.88671875" style="3" customWidth="1"/>
    <col min="7428" max="7428" width="12.5546875" style="3" customWidth="1"/>
    <col min="7429" max="7429" width="10.109375" style="3" customWidth="1"/>
    <col min="7430" max="7432" width="7.88671875" style="3" customWidth="1"/>
    <col min="7433" max="7433" width="4.44140625" style="3" customWidth="1"/>
    <col min="7434" max="7434" width="4" style="3" customWidth="1"/>
    <col min="7435" max="7436" width="7.33203125" style="3" customWidth="1"/>
    <col min="7437" max="7437" width="1.5546875" style="3" customWidth="1"/>
    <col min="7438" max="7438" width="7.88671875" style="3" customWidth="1"/>
    <col min="7439" max="7439" width="8.33203125" style="3" customWidth="1"/>
    <col min="7440" max="7680" width="9.109375" style="3"/>
    <col min="7681" max="7681" width="11.109375" style="3" customWidth="1"/>
    <col min="7682" max="7683" width="0.88671875" style="3" customWidth="1"/>
    <col min="7684" max="7684" width="12.5546875" style="3" customWidth="1"/>
    <col min="7685" max="7685" width="10.109375" style="3" customWidth="1"/>
    <col min="7686" max="7688" width="7.88671875" style="3" customWidth="1"/>
    <col min="7689" max="7689" width="4.44140625" style="3" customWidth="1"/>
    <col min="7690" max="7690" width="4" style="3" customWidth="1"/>
    <col min="7691" max="7692" width="7.33203125" style="3" customWidth="1"/>
    <col min="7693" max="7693" width="1.5546875" style="3" customWidth="1"/>
    <col min="7694" max="7694" width="7.88671875" style="3" customWidth="1"/>
    <col min="7695" max="7695" width="8.33203125" style="3" customWidth="1"/>
    <col min="7696" max="7936" width="9.109375" style="3"/>
    <col min="7937" max="7937" width="11.109375" style="3" customWidth="1"/>
    <col min="7938" max="7939" width="0.88671875" style="3" customWidth="1"/>
    <col min="7940" max="7940" width="12.5546875" style="3" customWidth="1"/>
    <col min="7941" max="7941" width="10.109375" style="3" customWidth="1"/>
    <col min="7942" max="7944" width="7.88671875" style="3" customWidth="1"/>
    <col min="7945" max="7945" width="4.44140625" style="3" customWidth="1"/>
    <col min="7946" max="7946" width="4" style="3" customWidth="1"/>
    <col min="7947" max="7948" width="7.33203125" style="3" customWidth="1"/>
    <col min="7949" max="7949" width="1.5546875" style="3" customWidth="1"/>
    <col min="7950" max="7950" width="7.88671875" style="3" customWidth="1"/>
    <col min="7951" max="7951" width="8.33203125" style="3" customWidth="1"/>
    <col min="7952" max="8192" width="9.109375" style="3"/>
    <col min="8193" max="8193" width="11.109375" style="3" customWidth="1"/>
    <col min="8194" max="8195" width="0.88671875" style="3" customWidth="1"/>
    <col min="8196" max="8196" width="12.5546875" style="3" customWidth="1"/>
    <col min="8197" max="8197" width="10.109375" style="3" customWidth="1"/>
    <col min="8198" max="8200" width="7.88671875" style="3" customWidth="1"/>
    <col min="8201" max="8201" width="4.44140625" style="3" customWidth="1"/>
    <col min="8202" max="8202" width="4" style="3" customWidth="1"/>
    <col min="8203" max="8204" width="7.33203125" style="3" customWidth="1"/>
    <col min="8205" max="8205" width="1.5546875" style="3" customWidth="1"/>
    <col min="8206" max="8206" width="7.88671875" style="3" customWidth="1"/>
    <col min="8207" max="8207" width="8.33203125" style="3" customWidth="1"/>
    <col min="8208" max="8448" width="9.109375" style="3"/>
    <col min="8449" max="8449" width="11.109375" style="3" customWidth="1"/>
    <col min="8450" max="8451" width="0.88671875" style="3" customWidth="1"/>
    <col min="8452" max="8452" width="12.5546875" style="3" customWidth="1"/>
    <col min="8453" max="8453" width="10.109375" style="3" customWidth="1"/>
    <col min="8454" max="8456" width="7.88671875" style="3" customWidth="1"/>
    <col min="8457" max="8457" width="4.44140625" style="3" customWidth="1"/>
    <col min="8458" max="8458" width="4" style="3" customWidth="1"/>
    <col min="8459" max="8460" width="7.33203125" style="3" customWidth="1"/>
    <col min="8461" max="8461" width="1.5546875" style="3" customWidth="1"/>
    <col min="8462" max="8462" width="7.88671875" style="3" customWidth="1"/>
    <col min="8463" max="8463" width="8.33203125" style="3" customWidth="1"/>
    <col min="8464" max="8704" width="9.109375" style="3"/>
    <col min="8705" max="8705" width="11.109375" style="3" customWidth="1"/>
    <col min="8706" max="8707" width="0.88671875" style="3" customWidth="1"/>
    <col min="8708" max="8708" width="12.5546875" style="3" customWidth="1"/>
    <col min="8709" max="8709" width="10.109375" style="3" customWidth="1"/>
    <col min="8710" max="8712" width="7.88671875" style="3" customWidth="1"/>
    <col min="8713" max="8713" width="4.44140625" style="3" customWidth="1"/>
    <col min="8714" max="8714" width="4" style="3" customWidth="1"/>
    <col min="8715" max="8716" width="7.33203125" style="3" customWidth="1"/>
    <col min="8717" max="8717" width="1.5546875" style="3" customWidth="1"/>
    <col min="8718" max="8718" width="7.88671875" style="3" customWidth="1"/>
    <col min="8719" max="8719" width="8.33203125" style="3" customWidth="1"/>
    <col min="8720" max="8960" width="9.109375" style="3"/>
    <col min="8961" max="8961" width="11.109375" style="3" customWidth="1"/>
    <col min="8962" max="8963" width="0.88671875" style="3" customWidth="1"/>
    <col min="8964" max="8964" width="12.5546875" style="3" customWidth="1"/>
    <col min="8965" max="8965" width="10.109375" style="3" customWidth="1"/>
    <col min="8966" max="8968" width="7.88671875" style="3" customWidth="1"/>
    <col min="8969" max="8969" width="4.44140625" style="3" customWidth="1"/>
    <col min="8970" max="8970" width="4" style="3" customWidth="1"/>
    <col min="8971" max="8972" width="7.33203125" style="3" customWidth="1"/>
    <col min="8973" max="8973" width="1.5546875" style="3" customWidth="1"/>
    <col min="8974" max="8974" width="7.88671875" style="3" customWidth="1"/>
    <col min="8975" max="8975" width="8.33203125" style="3" customWidth="1"/>
    <col min="8976" max="9216" width="9.109375" style="3"/>
    <col min="9217" max="9217" width="11.109375" style="3" customWidth="1"/>
    <col min="9218" max="9219" width="0.88671875" style="3" customWidth="1"/>
    <col min="9220" max="9220" width="12.5546875" style="3" customWidth="1"/>
    <col min="9221" max="9221" width="10.109375" style="3" customWidth="1"/>
    <col min="9222" max="9224" width="7.88671875" style="3" customWidth="1"/>
    <col min="9225" max="9225" width="4.44140625" style="3" customWidth="1"/>
    <col min="9226" max="9226" width="4" style="3" customWidth="1"/>
    <col min="9227" max="9228" width="7.33203125" style="3" customWidth="1"/>
    <col min="9229" max="9229" width="1.5546875" style="3" customWidth="1"/>
    <col min="9230" max="9230" width="7.88671875" style="3" customWidth="1"/>
    <col min="9231" max="9231" width="8.33203125" style="3" customWidth="1"/>
    <col min="9232" max="9472" width="9.109375" style="3"/>
    <col min="9473" max="9473" width="11.109375" style="3" customWidth="1"/>
    <col min="9474" max="9475" width="0.88671875" style="3" customWidth="1"/>
    <col min="9476" max="9476" width="12.5546875" style="3" customWidth="1"/>
    <col min="9477" max="9477" width="10.109375" style="3" customWidth="1"/>
    <col min="9478" max="9480" width="7.88671875" style="3" customWidth="1"/>
    <col min="9481" max="9481" width="4.44140625" style="3" customWidth="1"/>
    <col min="9482" max="9482" width="4" style="3" customWidth="1"/>
    <col min="9483" max="9484" width="7.33203125" style="3" customWidth="1"/>
    <col min="9485" max="9485" width="1.5546875" style="3" customWidth="1"/>
    <col min="9486" max="9486" width="7.88671875" style="3" customWidth="1"/>
    <col min="9487" max="9487" width="8.33203125" style="3" customWidth="1"/>
    <col min="9488" max="9728" width="9.109375" style="3"/>
    <col min="9729" max="9729" width="11.109375" style="3" customWidth="1"/>
    <col min="9730" max="9731" width="0.88671875" style="3" customWidth="1"/>
    <col min="9732" max="9732" width="12.5546875" style="3" customWidth="1"/>
    <col min="9733" max="9733" width="10.109375" style="3" customWidth="1"/>
    <col min="9734" max="9736" width="7.88671875" style="3" customWidth="1"/>
    <col min="9737" max="9737" width="4.44140625" style="3" customWidth="1"/>
    <col min="9738" max="9738" width="4" style="3" customWidth="1"/>
    <col min="9739" max="9740" width="7.33203125" style="3" customWidth="1"/>
    <col min="9741" max="9741" width="1.5546875" style="3" customWidth="1"/>
    <col min="9742" max="9742" width="7.88671875" style="3" customWidth="1"/>
    <col min="9743" max="9743" width="8.33203125" style="3" customWidth="1"/>
    <col min="9744" max="9984" width="9.109375" style="3"/>
    <col min="9985" max="9985" width="11.109375" style="3" customWidth="1"/>
    <col min="9986" max="9987" width="0.88671875" style="3" customWidth="1"/>
    <col min="9988" max="9988" width="12.5546875" style="3" customWidth="1"/>
    <col min="9989" max="9989" width="10.109375" style="3" customWidth="1"/>
    <col min="9990" max="9992" width="7.88671875" style="3" customWidth="1"/>
    <col min="9993" max="9993" width="4.44140625" style="3" customWidth="1"/>
    <col min="9994" max="9994" width="4" style="3" customWidth="1"/>
    <col min="9995" max="9996" width="7.33203125" style="3" customWidth="1"/>
    <col min="9997" max="9997" width="1.5546875" style="3" customWidth="1"/>
    <col min="9998" max="9998" width="7.88671875" style="3" customWidth="1"/>
    <col min="9999" max="9999" width="8.33203125" style="3" customWidth="1"/>
    <col min="10000" max="10240" width="9.109375" style="3"/>
    <col min="10241" max="10241" width="11.109375" style="3" customWidth="1"/>
    <col min="10242" max="10243" width="0.88671875" style="3" customWidth="1"/>
    <col min="10244" max="10244" width="12.5546875" style="3" customWidth="1"/>
    <col min="10245" max="10245" width="10.109375" style="3" customWidth="1"/>
    <col min="10246" max="10248" width="7.88671875" style="3" customWidth="1"/>
    <col min="10249" max="10249" width="4.44140625" style="3" customWidth="1"/>
    <col min="10250" max="10250" width="4" style="3" customWidth="1"/>
    <col min="10251" max="10252" width="7.33203125" style="3" customWidth="1"/>
    <col min="10253" max="10253" width="1.5546875" style="3" customWidth="1"/>
    <col min="10254" max="10254" width="7.88671875" style="3" customWidth="1"/>
    <col min="10255" max="10255" width="8.33203125" style="3" customWidth="1"/>
    <col min="10256" max="10496" width="9.109375" style="3"/>
    <col min="10497" max="10497" width="11.109375" style="3" customWidth="1"/>
    <col min="10498" max="10499" width="0.88671875" style="3" customWidth="1"/>
    <col min="10500" max="10500" width="12.5546875" style="3" customWidth="1"/>
    <col min="10501" max="10501" width="10.109375" style="3" customWidth="1"/>
    <col min="10502" max="10504" width="7.88671875" style="3" customWidth="1"/>
    <col min="10505" max="10505" width="4.44140625" style="3" customWidth="1"/>
    <col min="10506" max="10506" width="4" style="3" customWidth="1"/>
    <col min="10507" max="10508" width="7.33203125" style="3" customWidth="1"/>
    <col min="10509" max="10509" width="1.5546875" style="3" customWidth="1"/>
    <col min="10510" max="10510" width="7.88671875" style="3" customWidth="1"/>
    <col min="10511" max="10511" width="8.33203125" style="3" customWidth="1"/>
    <col min="10512" max="10752" width="9.109375" style="3"/>
    <col min="10753" max="10753" width="11.109375" style="3" customWidth="1"/>
    <col min="10754" max="10755" width="0.88671875" style="3" customWidth="1"/>
    <col min="10756" max="10756" width="12.5546875" style="3" customWidth="1"/>
    <col min="10757" max="10757" width="10.109375" style="3" customWidth="1"/>
    <col min="10758" max="10760" width="7.88671875" style="3" customWidth="1"/>
    <col min="10761" max="10761" width="4.44140625" style="3" customWidth="1"/>
    <col min="10762" max="10762" width="4" style="3" customWidth="1"/>
    <col min="10763" max="10764" width="7.33203125" style="3" customWidth="1"/>
    <col min="10765" max="10765" width="1.5546875" style="3" customWidth="1"/>
    <col min="10766" max="10766" width="7.88671875" style="3" customWidth="1"/>
    <col min="10767" max="10767" width="8.33203125" style="3" customWidth="1"/>
    <col min="10768" max="11008" width="9.109375" style="3"/>
    <col min="11009" max="11009" width="11.109375" style="3" customWidth="1"/>
    <col min="11010" max="11011" width="0.88671875" style="3" customWidth="1"/>
    <col min="11012" max="11012" width="12.5546875" style="3" customWidth="1"/>
    <col min="11013" max="11013" width="10.109375" style="3" customWidth="1"/>
    <col min="11014" max="11016" width="7.88671875" style="3" customWidth="1"/>
    <col min="11017" max="11017" width="4.44140625" style="3" customWidth="1"/>
    <col min="11018" max="11018" width="4" style="3" customWidth="1"/>
    <col min="11019" max="11020" width="7.33203125" style="3" customWidth="1"/>
    <col min="11021" max="11021" width="1.5546875" style="3" customWidth="1"/>
    <col min="11022" max="11022" width="7.88671875" style="3" customWidth="1"/>
    <col min="11023" max="11023" width="8.33203125" style="3" customWidth="1"/>
    <col min="11024" max="11264" width="9.109375" style="3"/>
    <col min="11265" max="11265" width="11.109375" style="3" customWidth="1"/>
    <col min="11266" max="11267" width="0.88671875" style="3" customWidth="1"/>
    <col min="11268" max="11268" width="12.5546875" style="3" customWidth="1"/>
    <col min="11269" max="11269" width="10.109375" style="3" customWidth="1"/>
    <col min="11270" max="11272" width="7.88671875" style="3" customWidth="1"/>
    <col min="11273" max="11273" width="4.44140625" style="3" customWidth="1"/>
    <col min="11274" max="11274" width="4" style="3" customWidth="1"/>
    <col min="11275" max="11276" width="7.33203125" style="3" customWidth="1"/>
    <col min="11277" max="11277" width="1.5546875" style="3" customWidth="1"/>
    <col min="11278" max="11278" width="7.88671875" style="3" customWidth="1"/>
    <col min="11279" max="11279" width="8.33203125" style="3" customWidth="1"/>
    <col min="11280" max="11520" width="9.109375" style="3"/>
    <col min="11521" max="11521" width="11.109375" style="3" customWidth="1"/>
    <col min="11522" max="11523" width="0.88671875" style="3" customWidth="1"/>
    <col min="11524" max="11524" width="12.5546875" style="3" customWidth="1"/>
    <col min="11525" max="11525" width="10.109375" style="3" customWidth="1"/>
    <col min="11526" max="11528" width="7.88671875" style="3" customWidth="1"/>
    <col min="11529" max="11529" width="4.44140625" style="3" customWidth="1"/>
    <col min="11530" max="11530" width="4" style="3" customWidth="1"/>
    <col min="11531" max="11532" width="7.33203125" style="3" customWidth="1"/>
    <col min="11533" max="11533" width="1.5546875" style="3" customWidth="1"/>
    <col min="11534" max="11534" width="7.88671875" style="3" customWidth="1"/>
    <col min="11535" max="11535" width="8.33203125" style="3" customWidth="1"/>
    <col min="11536" max="11776" width="9.109375" style="3"/>
    <col min="11777" max="11777" width="11.109375" style="3" customWidth="1"/>
    <col min="11778" max="11779" width="0.88671875" style="3" customWidth="1"/>
    <col min="11780" max="11780" width="12.5546875" style="3" customWidth="1"/>
    <col min="11781" max="11781" width="10.109375" style="3" customWidth="1"/>
    <col min="11782" max="11784" width="7.88671875" style="3" customWidth="1"/>
    <col min="11785" max="11785" width="4.44140625" style="3" customWidth="1"/>
    <col min="11786" max="11786" width="4" style="3" customWidth="1"/>
    <col min="11787" max="11788" width="7.33203125" style="3" customWidth="1"/>
    <col min="11789" max="11789" width="1.5546875" style="3" customWidth="1"/>
    <col min="11790" max="11790" width="7.88671875" style="3" customWidth="1"/>
    <col min="11791" max="11791" width="8.33203125" style="3" customWidth="1"/>
    <col min="11792" max="12032" width="9.109375" style="3"/>
    <col min="12033" max="12033" width="11.109375" style="3" customWidth="1"/>
    <col min="12034" max="12035" width="0.88671875" style="3" customWidth="1"/>
    <col min="12036" max="12036" width="12.5546875" style="3" customWidth="1"/>
    <col min="12037" max="12037" width="10.109375" style="3" customWidth="1"/>
    <col min="12038" max="12040" width="7.88671875" style="3" customWidth="1"/>
    <col min="12041" max="12041" width="4.44140625" style="3" customWidth="1"/>
    <col min="12042" max="12042" width="4" style="3" customWidth="1"/>
    <col min="12043" max="12044" width="7.33203125" style="3" customWidth="1"/>
    <col min="12045" max="12045" width="1.5546875" style="3" customWidth="1"/>
    <col min="12046" max="12046" width="7.88671875" style="3" customWidth="1"/>
    <col min="12047" max="12047" width="8.33203125" style="3" customWidth="1"/>
    <col min="12048" max="12288" width="9.109375" style="3"/>
    <col min="12289" max="12289" width="11.109375" style="3" customWidth="1"/>
    <col min="12290" max="12291" width="0.88671875" style="3" customWidth="1"/>
    <col min="12292" max="12292" width="12.5546875" style="3" customWidth="1"/>
    <col min="12293" max="12293" width="10.109375" style="3" customWidth="1"/>
    <col min="12294" max="12296" width="7.88671875" style="3" customWidth="1"/>
    <col min="12297" max="12297" width="4.44140625" style="3" customWidth="1"/>
    <col min="12298" max="12298" width="4" style="3" customWidth="1"/>
    <col min="12299" max="12300" width="7.33203125" style="3" customWidth="1"/>
    <col min="12301" max="12301" width="1.5546875" style="3" customWidth="1"/>
    <col min="12302" max="12302" width="7.88671875" style="3" customWidth="1"/>
    <col min="12303" max="12303" width="8.33203125" style="3" customWidth="1"/>
    <col min="12304" max="12544" width="9.109375" style="3"/>
    <col min="12545" max="12545" width="11.109375" style="3" customWidth="1"/>
    <col min="12546" max="12547" width="0.88671875" style="3" customWidth="1"/>
    <col min="12548" max="12548" width="12.5546875" style="3" customWidth="1"/>
    <col min="12549" max="12549" width="10.109375" style="3" customWidth="1"/>
    <col min="12550" max="12552" width="7.88671875" style="3" customWidth="1"/>
    <col min="12553" max="12553" width="4.44140625" style="3" customWidth="1"/>
    <col min="12554" max="12554" width="4" style="3" customWidth="1"/>
    <col min="12555" max="12556" width="7.33203125" style="3" customWidth="1"/>
    <col min="12557" max="12557" width="1.5546875" style="3" customWidth="1"/>
    <col min="12558" max="12558" width="7.88671875" style="3" customWidth="1"/>
    <col min="12559" max="12559" width="8.33203125" style="3" customWidth="1"/>
    <col min="12560" max="12800" width="9.109375" style="3"/>
    <col min="12801" max="12801" width="11.109375" style="3" customWidth="1"/>
    <col min="12802" max="12803" width="0.88671875" style="3" customWidth="1"/>
    <col min="12804" max="12804" width="12.5546875" style="3" customWidth="1"/>
    <col min="12805" max="12805" width="10.109375" style="3" customWidth="1"/>
    <col min="12806" max="12808" width="7.88671875" style="3" customWidth="1"/>
    <col min="12809" max="12809" width="4.44140625" style="3" customWidth="1"/>
    <col min="12810" max="12810" width="4" style="3" customWidth="1"/>
    <col min="12811" max="12812" width="7.33203125" style="3" customWidth="1"/>
    <col min="12813" max="12813" width="1.5546875" style="3" customWidth="1"/>
    <col min="12814" max="12814" width="7.88671875" style="3" customWidth="1"/>
    <col min="12815" max="12815" width="8.33203125" style="3" customWidth="1"/>
    <col min="12816" max="13056" width="9.109375" style="3"/>
    <col min="13057" max="13057" width="11.109375" style="3" customWidth="1"/>
    <col min="13058" max="13059" width="0.88671875" style="3" customWidth="1"/>
    <col min="13060" max="13060" width="12.5546875" style="3" customWidth="1"/>
    <col min="13061" max="13061" width="10.109375" style="3" customWidth="1"/>
    <col min="13062" max="13064" width="7.88671875" style="3" customWidth="1"/>
    <col min="13065" max="13065" width="4.44140625" style="3" customWidth="1"/>
    <col min="13066" max="13066" width="4" style="3" customWidth="1"/>
    <col min="13067" max="13068" width="7.33203125" style="3" customWidth="1"/>
    <col min="13069" max="13069" width="1.5546875" style="3" customWidth="1"/>
    <col min="13070" max="13070" width="7.88671875" style="3" customWidth="1"/>
    <col min="13071" max="13071" width="8.33203125" style="3" customWidth="1"/>
    <col min="13072" max="13312" width="9.109375" style="3"/>
    <col min="13313" max="13313" width="11.109375" style="3" customWidth="1"/>
    <col min="13314" max="13315" width="0.88671875" style="3" customWidth="1"/>
    <col min="13316" max="13316" width="12.5546875" style="3" customWidth="1"/>
    <col min="13317" max="13317" width="10.109375" style="3" customWidth="1"/>
    <col min="13318" max="13320" width="7.88671875" style="3" customWidth="1"/>
    <col min="13321" max="13321" width="4.44140625" style="3" customWidth="1"/>
    <col min="13322" max="13322" width="4" style="3" customWidth="1"/>
    <col min="13323" max="13324" width="7.33203125" style="3" customWidth="1"/>
    <col min="13325" max="13325" width="1.5546875" style="3" customWidth="1"/>
    <col min="13326" max="13326" width="7.88671875" style="3" customWidth="1"/>
    <col min="13327" max="13327" width="8.33203125" style="3" customWidth="1"/>
    <col min="13328" max="13568" width="9.109375" style="3"/>
    <col min="13569" max="13569" width="11.109375" style="3" customWidth="1"/>
    <col min="13570" max="13571" width="0.88671875" style="3" customWidth="1"/>
    <col min="13572" max="13572" width="12.5546875" style="3" customWidth="1"/>
    <col min="13573" max="13573" width="10.109375" style="3" customWidth="1"/>
    <col min="13574" max="13576" width="7.88671875" style="3" customWidth="1"/>
    <col min="13577" max="13577" width="4.44140625" style="3" customWidth="1"/>
    <col min="13578" max="13578" width="4" style="3" customWidth="1"/>
    <col min="13579" max="13580" width="7.33203125" style="3" customWidth="1"/>
    <col min="13581" max="13581" width="1.5546875" style="3" customWidth="1"/>
    <col min="13582" max="13582" width="7.88671875" style="3" customWidth="1"/>
    <col min="13583" max="13583" width="8.33203125" style="3" customWidth="1"/>
    <col min="13584" max="13824" width="9.109375" style="3"/>
    <col min="13825" max="13825" width="11.109375" style="3" customWidth="1"/>
    <col min="13826" max="13827" width="0.88671875" style="3" customWidth="1"/>
    <col min="13828" max="13828" width="12.5546875" style="3" customWidth="1"/>
    <col min="13829" max="13829" width="10.109375" style="3" customWidth="1"/>
    <col min="13830" max="13832" width="7.88671875" style="3" customWidth="1"/>
    <col min="13833" max="13833" width="4.44140625" style="3" customWidth="1"/>
    <col min="13834" max="13834" width="4" style="3" customWidth="1"/>
    <col min="13835" max="13836" width="7.33203125" style="3" customWidth="1"/>
    <col min="13837" max="13837" width="1.5546875" style="3" customWidth="1"/>
    <col min="13838" max="13838" width="7.88671875" style="3" customWidth="1"/>
    <col min="13839" max="13839" width="8.33203125" style="3" customWidth="1"/>
    <col min="13840" max="14080" width="9.109375" style="3"/>
    <col min="14081" max="14081" width="11.109375" style="3" customWidth="1"/>
    <col min="14082" max="14083" width="0.88671875" style="3" customWidth="1"/>
    <col min="14084" max="14084" width="12.5546875" style="3" customWidth="1"/>
    <col min="14085" max="14085" width="10.109375" style="3" customWidth="1"/>
    <col min="14086" max="14088" width="7.88671875" style="3" customWidth="1"/>
    <col min="14089" max="14089" width="4.44140625" style="3" customWidth="1"/>
    <col min="14090" max="14090" width="4" style="3" customWidth="1"/>
    <col min="14091" max="14092" width="7.33203125" style="3" customWidth="1"/>
    <col min="14093" max="14093" width="1.5546875" style="3" customWidth="1"/>
    <col min="14094" max="14094" width="7.88671875" style="3" customWidth="1"/>
    <col min="14095" max="14095" width="8.33203125" style="3" customWidth="1"/>
    <col min="14096" max="14336" width="9.109375" style="3"/>
    <col min="14337" max="14337" width="11.109375" style="3" customWidth="1"/>
    <col min="14338" max="14339" width="0.88671875" style="3" customWidth="1"/>
    <col min="14340" max="14340" width="12.5546875" style="3" customWidth="1"/>
    <col min="14341" max="14341" width="10.109375" style="3" customWidth="1"/>
    <col min="14342" max="14344" width="7.88671875" style="3" customWidth="1"/>
    <col min="14345" max="14345" width="4.44140625" style="3" customWidth="1"/>
    <col min="14346" max="14346" width="4" style="3" customWidth="1"/>
    <col min="14347" max="14348" width="7.33203125" style="3" customWidth="1"/>
    <col min="14349" max="14349" width="1.5546875" style="3" customWidth="1"/>
    <col min="14350" max="14350" width="7.88671875" style="3" customWidth="1"/>
    <col min="14351" max="14351" width="8.33203125" style="3" customWidth="1"/>
    <col min="14352" max="14592" width="9.109375" style="3"/>
    <col min="14593" max="14593" width="11.109375" style="3" customWidth="1"/>
    <col min="14594" max="14595" width="0.88671875" style="3" customWidth="1"/>
    <col min="14596" max="14596" width="12.5546875" style="3" customWidth="1"/>
    <col min="14597" max="14597" width="10.109375" style="3" customWidth="1"/>
    <col min="14598" max="14600" width="7.88671875" style="3" customWidth="1"/>
    <col min="14601" max="14601" width="4.44140625" style="3" customWidth="1"/>
    <col min="14602" max="14602" width="4" style="3" customWidth="1"/>
    <col min="14603" max="14604" width="7.33203125" style="3" customWidth="1"/>
    <col min="14605" max="14605" width="1.5546875" style="3" customWidth="1"/>
    <col min="14606" max="14606" width="7.88671875" style="3" customWidth="1"/>
    <col min="14607" max="14607" width="8.33203125" style="3" customWidth="1"/>
    <col min="14608" max="14848" width="9.109375" style="3"/>
    <col min="14849" max="14849" width="11.109375" style="3" customWidth="1"/>
    <col min="14850" max="14851" width="0.88671875" style="3" customWidth="1"/>
    <col min="14852" max="14852" width="12.5546875" style="3" customWidth="1"/>
    <col min="14853" max="14853" width="10.109375" style="3" customWidth="1"/>
    <col min="14854" max="14856" width="7.88671875" style="3" customWidth="1"/>
    <col min="14857" max="14857" width="4.44140625" style="3" customWidth="1"/>
    <col min="14858" max="14858" width="4" style="3" customWidth="1"/>
    <col min="14859" max="14860" width="7.33203125" style="3" customWidth="1"/>
    <col min="14861" max="14861" width="1.5546875" style="3" customWidth="1"/>
    <col min="14862" max="14862" width="7.88671875" style="3" customWidth="1"/>
    <col min="14863" max="14863" width="8.33203125" style="3" customWidth="1"/>
    <col min="14864" max="15104" width="9.109375" style="3"/>
    <col min="15105" max="15105" width="11.109375" style="3" customWidth="1"/>
    <col min="15106" max="15107" width="0.88671875" style="3" customWidth="1"/>
    <col min="15108" max="15108" width="12.5546875" style="3" customWidth="1"/>
    <col min="15109" max="15109" width="10.109375" style="3" customWidth="1"/>
    <col min="15110" max="15112" width="7.88671875" style="3" customWidth="1"/>
    <col min="15113" max="15113" width="4.44140625" style="3" customWidth="1"/>
    <col min="15114" max="15114" width="4" style="3" customWidth="1"/>
    <col min="15115" max="15116" width="7.33203125" style="3" customWidth="1"/>
    <col min="15117" max="15117" width="1.5546875" style="3" customWidth="1"/>
    <col min="15118" max="15118" width="7.88671875" style="3" customWidth="1"/>
    <col min="15119" max="15119" width="8.33203125" style="3" customWidth="1"/>
    <col min="15120" max="15360" width="9.109375" style="3"/>
    <col min="15361" max="15361" width="11.109375" style="3" customWidth="1"/>
    <col min="15362" max="15363" width="0.88671875" style="3" customWidth="1"/>
    <col min="15364" max="15364" width="12.5546875" style="3" customWidth="1"/>
    <col min="15365" max="15365" width="10.109375" style="3" customWidth="1"/>
    <col min="15366" max="15368" width="7.88671875" style="3" customWidth="1"/>
    <col min="15369" max="15369" width="4.44140625" style="3" customWidth="1"/>
    <col min="15370" max="15370" width="4" style="3" customWidth="1"/>
    <col min="15371" max="15372" width="7.33203125" style="3" customWidth="1"/>
    <col min="15373" max="15373" width="1.5546875" style="3" customWidth="1"/>
    <col min="15374" max="15374" width="7.88671875" style="3" customWidth="1"/>
    <col min="15375" max="15375" width="8.33203125" style="3" customWidth="1"/>
    <col min="15376" max="15616" width="9.109375" style="3"/>
    <col min="15617" max="15617" width="11.109375" style="3" customWidth="1"/>
    <col min="15618" max="15619" width="0.88671875" style="3" customWidth="1"/>
    <col min="15620" max="15620" width="12.5546875" style="3" customWidth="1"/>
    <col min="15621" max="15621" width="10.109375" style="3" customWidth="1"/>
    <col min="15622" max="15624" width="7.88671875" style="3" customWidth="1"/>
    <col min="15625" max="15625" width="4.44140625" style="3" customWidth="1"/>
    <col min="15626" max="15626" width="4" style="3" customWidth="1"/>
    <col min="15627" max="15628" width="7.33203125" style="3" customWidth="1"/>
    <col min="15629" max="15629" width="1.5546875" style="3" customWidth="1"/>
    <col min="15630" max="15630" width="7.88671875" style="3" customWidth="1"/>
    <col min="15631" max="15631" width="8.33203125" style="3" customWidth="1"/>
    <col min="15632" max="15872" width="9.109375" style="3"/>
    <col min="15873" max="15873" width="11.109375" style="3" customWidth="1"/>
    <col min="15874" max="15875" width="0.88671875" style="3" customWidth="1"/>
    <col min="15876" max="15876" width="12.5546875" style="3" customWidth="1"/>
    <col min="15877" max="15877" width="10.109375" style="3" customWidth="1"/>
    <col min="15878" max="15880" width="7.88671875" style="3" customWidth="1"/>
    <col min="15881" max="15881" width="4.44140625" style="3" customWidth="1"/>
    <col min="15882" max="15882" width="4" style="3" customWidth="1"/>
    <col min="15883" max="15884" width="7.33203125" style="3" customWidth="1"/>
    <col min="15885" max="15885" width="1.5546875" style="3" customWidth="1"/>
    <col min="15886" max="15886" width="7.88671875" style="3" customWidth="1"/>
    <col min="15887" max="15887" width="8.33203125" style="3" customWidth="1"/>
    <col min="15888" max="16128" width="9.109375" style="3"/>
    <col min="16129" max="16129" width="11.109375" style="3" customWidth="1"/>
    <col min="16130" max="16131" width="0.88671875" style="3" customWidth="1"/>
    <col min="16132" max="16132" width="12.5546875" style="3" customWidth="1"/>
    <col min="16133" max="16133" width="10.109375" style="3" customWidth="1"/>
    <col min="16134" max="16136" width="7.88671875" style="3" customWidth="1"/>
    <col min="16137" max="16137" width="4.44140625" style="3" customWidth="1"/>
    <col min="16138" max="16138" width="4" style="3" customWidth="1"/>
    <col min="16139" max="16140" width="7.33203125" style="3" customWidth="1"/>
    <col min="16141" max="16141" width="1.5546875" style="3" customWidth="1"/>
    <col min="16142" max="16142" width="7.88671875" style="3" customWidth="1"/>
    <col min="16143" max="16143" width="8.33203125" style="3" customWidth="1"/>
    <col min="16144" max="16384" width="9.109375" style="3"/>
  </cols>
  <sheetData>
    <row r="1" spans="1:15" ht="14.25" customHeight="1" x14ac:dyDescent="0.3">
      <c r="A1" s="80" t="s">
        <v>266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ht="5.85" customHeight="1" x14ac:dyDescent="0.3"/>
    <row r="3" spans="1:15" ht="63.15" customHeight="1" x14ac:dyDescent="0.3">
      <c r="A3" s="4" t="s">
        <v>267</v>
      </c>
      <c r="C3" s="82" t="s">
        <v>268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</row>
    <row r="4" spans="1:15" ht="17.25" customHeight="1" x14ac:dyDescent="0.3"/>
    <row r="5" spans="1:15" ht="11.4" customHeight="1" x14ac:dyDescent="0.3">
      <c r="A5" s="83" t="s">
        <v>269</v>
      </c>
      <c r="B5" s="84"/>
      <c r="C5" s="85"/>
      <c r="D5" s="5" t="s">
        <v>270</v>
      </c>
      <c r="E5" s="6" t="s">
        <v>271</v>
      </c>
      <c r="F5" s="5" t="s">
        <v>272</v>
      </c>
      <c r="G5" s="6" t="s">
        <v>273</v>
      </c>
      <c r="H5" s="5" t="s">
        <v>274</v>
      </c>
      <c r="I5" s="86" t="s">
        <v>275</v>
      </c>
      <c r="J5" s="87"/>
      <c r="K5" s="5" t="s">
        <v>276</v>
      </c>
      <c r="L5" s="6" t="s">
        <v>277</v>
      </c>
      <c r="M5" s="83" t="s">
        <v>278</v>
      </c>
      <c r="N5" s="85"/>
      <c r="O5" s="7" t="s">
        <v>279</v>
      </c>
    </row>
    <row r="6" spans="1:15" ht="11.4" customHeight="1" x14ac:dyDescent="0.3">
      <c r="A6" s="88" t="s">
        <v>280</v>
      </c>
      <c r="B6" s="84"/>
      <c r="C6" s="85"/>
      <c r="D6" s="8" t="s">
        <v>281</v>
      </c>
      <c r="E6" s="9" t="s">
        <v>282</v>
      </c>
      <c r="F6" s="10" t="s">
        <v>283</v>
      </c>
      <c r="G6" s="11" t="s">
        <v>284</v>
      </c>
      <c r="H6" s="10" t="s">
        <v>285</v>
      </c>
      <c r="I6" s="89" t="s">
        <v>7</v>
      </c>
      <c r="J6" s="90"/>
      <c r="K6" s="10" t="s">
        <v>286</v>
      </c>
      <c r="L6" s="9" t="s">
        <v>287</v>
      </c>
      <c r="M6" s="88" t="s">
        <v>288</v>
      </c>
      <c r="N6" s="85"/>
      <c r="O6" s="9" t="s">
        <v>289</v>
      </c>
    </row>
    <row r="7" spans="1:15" ht="2.85" customHeight="1" x14ac:dyDescent="0.3"/>
    <row r="8" spans="1:15" ht="11.4" customHeight="1" x14ac:dyDescent="0.3">
      <c r="A8" s="94" t="s">
        <v>290</v>
      </c>
      <c r="B8" s="81"/>
      <c r="C8" s="81"/>
      <c r="D8" s="81"/>
      <c r="E8" s="81"/>
      <c r="F8" s="81"/>
      <c r="G8" s="81"/>
      <c r="H8" s="12" t="s">
        <v>285</v>
      </c>
      <c r="I8" s="95" t="s">
        <v>9</v>
      </c>
      <c r="J8" s="96"/>
      <c r="K8" s="97" t="s">
        <v>291</v>
      </c>
      <c r="L8" s="81"/>
      <c r="M8" s="81"/>
      <c r="N8" s="97" t="s">
        <v>292</v>
      </c>
      <c r="O8" s="81"/>
    </row>
    <row r="9" spans="1:15" ht="11.4" customHeight="1" x14ac:dyDescent="0.3">
      <c r="F9" s="97" t="s">
        <v>293</v>
      </c>
      <c r="G9" s="81"/>
      <c r="H9" s="13" t="s">
        <v>294</v>
      </c>
      <c r="I9" s="98" t="s">
        <v>9</v>
      </c>
      <c r="J9" s="99"/>
      <c r="K9" s="100" t="s">
        <v>295</v>
      </c>
      <c r="L9" s="81"/>
      <c r="M9" s="81"/>
      <c r="N9" s="100" t="s">
        <v>295</v>
      </c>
      <c r="O9" s="81"/>
    </row>
    <row r="10" spans="1:15" ht="20.100000000000001" customHeight="1" x14ac:dyDescent="0.3"/>
    <row r="11" spans="1:15" ht="11.4" customHeight="1" x14ac:dyDescent="0.3">
      <c r="A11" s="91" t="s">
        <v>269</v>
      </c>
      <c r="B11" s="92"/>
      <c r="C11" s="93"/>
      <c r="D11" s="5" t="s">
        <v>270</v>
      </c>
      <c r="E11" s="6" t="s">
        <v>271</v>
      </c>
      <c r="F11" s="5" t="s">
        <v>272</v>
      </c>
      <c r="G11" s="6" t="s">
        <v>273</v>
      </c>
      <c r="H11" s="5" t="s">
        <v>274</v>
      </c>
      <c r="I11" s="86" t="s">
        <v>275</v>
      </c>
      <c r="J11" s="87"/>
      <c r="K11" s="5" t="s">
        <v>276</v>
      </c>
      <c r="L11" s="6" t="s">
        <v>277</v>
      </c>
      <c r="M11" s="83" t="s">
        <v>278</v>
      </c>
      <c r="N11" s="85"/>
      <c r="O11" s="7" t="s">
        <v>279</v>
      </c>
    </row>
    <row r="12" spans="1:15" ht="11.4" customHeight="1" x14ac:dyDescent="0.3">
      <c r="A12" s="88" t="s">
        <v>280</v>
      </c>
      <c r="B12" s="84"/>
      <c r="C12" s="85"/>
      <c r="D12" s="14" t="s">
        <v>296</v>
      </c>
      <c r="E12" s="9" t="s">
        <v>297</v>
      </c>
      <c r="F12" s="15" t="s">
        <v>298</v>
      </c>
      <c r="G12" s="11" t="s">
        <v>299</v>
      </c>
      <c r="H12" s="15" t="s">
        <v>300</v>
      </c>
      <c r="I12" s="89" t="s">
        <v>7</v>
      </c>
      <c r="J12" s="90"/>
      <c r="K12" s="15" t="s">
        <v>301</v>
      </c>
      <c r="L12" s="9" t="s">
        <v>287</v>
      </c>
      <c r="M12" s="88" t="s">
        <v>302</v>
      </c>
      <c r="N12" s="85"/>
      <c r="O12" s="9" t="s">
        <v>289</v>
      </c>
    </row>
    <row r="13" spans="1:15" ht="11.4" customHeight="1" x14ac:dyDescent="0.3">
      <c r="A13" s="101" t="s">
        <v>280</v>
      </c>
      <c r="B13" s="84"/>
      <c r="C13" s="85"/>
      <c r="D13" s="9" t="s">
        <v>303</v>
      </c>
      <c r="E13" s="14" t="s">
        <v>304</v>
      </c>
      <c r="F13" s="11" t="s">
        <v>305</v>
      </c>
      <c r="G13" s="15" t="s">
        <v>306</v>
      </c>
      <c r="H13" s="11" t="s">
        <v>307</v>
      </c>
      <c r="I13" s="89" t="s">
        <v>7</v>
      </c>
      <c r="J13" s="90"/>
      <c r="K13" s="11" t="s">
        <v>308</v>
      </c>
      <c r="L13" s="14" t="s">
        <v>287</v>
      </c>
      <c r="M13" s="88" t="s">
        <v>302</v>
      </c>
      <c r="N13" s="85"/>
      <c r="O13" s="16" t="s">
        <v>309</v>
      </c>
    </row>
    <row r="14" spans="1:15" ht="11.4" customHeight="1" x14ac:dyDescent="0.3">
      <c r="A14" s="88" t="s">
        <v>280</v>
      </c>
      <c r="B14" s="84"/>
      <c r="C14" s="85"/>
      <c r="D14" s="14" t="s">
        <v>310</v>
      </c>
      <c r="E14" s="9" t="s">
        <v>311</v>
      </c>
      <c r="F14" s="15" t="s">
        <v>312</v>
      </c>
      <c r="G14" s="11" t="s">
        <v>313</v>
      </c>
      <c r="H14" s="15" t="s">
        <v>307</v>
      </c>
      <c r="I14" s="89" t="s">
        <v>7</v>
      </c>
      <c r="J14" s="90"/>
      <c r="K14" s="15" t="s">
        <v>314</v>
      </c>
      <c r="L14" s="9" t="s">
        <v>287</v>
      </c>
      <c r="M14" s="88" t="s">
        <v>302</v>
      </c>
      <c r="N14" s="85"/>
      <c r="O14" s="9" t="s">
        <v>309</v>
      </c>
    </row>
    <row r="15" spans="1:15" ht="11.4" customHeight="1" x14ac:dyDescent="0.3">
      <c r="A15" s="101" t="s">
        <v>280</v>
      </c>
      <c r="B15" s="84"/>
      <c r="C15" s="85"/>
      <c r="D15" s="9" t="s">
        <v>315</v>
      </c>
      <c r="E15" s="14" t="s">
        <v>316</v>
      </c>
      <c r="F15" s="11" t="s">
        <v>317</v>
      </c>
      <c r="G15" s="15" t="s">
        <v>318</v>
      </c>
      <c r="H15" s="11" t="s">
        <v>319</v>
      </c>
      <c r="I15" s="89" t="s">
        <v>7</v>
      </c>
      <c r="J15" s="90"/>
      <c r="K15" s="11" t="s">
        <v>320</v>
      </c>
      <c r="L15" s="14" t="s">
        <v>287</v>
      </c>
      <c r="M15" s="88" t="s">
        <v>302</v>
      </c>
      <c r="N15" s="85"/>
      <c r="O15" s="16" t="s">
        <v>289</v>
      </c>
    </row>
    <row r="16" spans="1:15" ht="11.4" customHeight="1" x14ac:dyDescent="0.3">
      <c r="A16" s="88" t="s">
        <v>280</v>
      </c>
      <c r="B16" s="84"/>
      <c r="C16" s="85"/>
      <c r="D16" s="14" t="s">
        <v>321</v>
      </c>
      <c r="E16" s="9" t="s">
        <v>322</v>
      </c>
      <c r="F16" s="15" t="s">
        <v>323</v>
      </c>
      <c r="G16" s="11" t="s">
        <v>324</v>
      </c>
      <c r="H16" s="15" t="s">
        <v>325</v>
      </c>
      <c r="I16" s="89" t="s">
        <v>7</v>
      </c>
      <c r="J16" s="90"/>
      <c r="K16" s="15" t="s">
        <v>326</v>
      </c>
      <c r="L16" s="9" t="s">
        <v>287</v>
      </c>
      <c r="M16" s="88" t="s">
        <v>302</v>
      </c>
      <c r="N16" s="85"/>
      <c r="O16" s="9" t="s">
        <v>289</v>
      </c>
    </row>
    <row r="17" spans="1:15" ht="11.4" customHeight="1" x14ac:dyDescent="0.3">
      <c r="A17" s="101" t="s">
        <v>280</v>
      </c>
      <c r="B17" s="84"/>
      <c r="C17" s="85"/>
      <c r="D17" s="9" t="s">
        <v>327</v>
      </c>
      <c r="E17" s="14" t="s">
        <v>328</v>
      </c>
      <c r="F17" s="11" t="s">
        <v>329</v>
      </c>
      <c r="G17" s="15" t="s">
        <v>330</v>
      </c>
      <c r="H17" s="11" t="s">
        <v>331</v>
      </c>
      <c r="I17" s="89" t="s">
        <v>7</v>
      </c>
      <c r="J17" s="90"/>
      <c r="K17" s="11" t="s">
        <v>332</v>
      </c>
      <c r="L17" s="14" t="s">
        <v>287</v>
      </c>
      <c r="M17" s="88" t="s">
        <v>302</v>
      </c>
      <c r="N17" s="85"/>
      <c r="O17" s="16" t="s">
        <v>289</v>
      </c>
    </row>
    <row r="18" spans="1:15" ht="11.4" customHeight="1" x14ac:dyDescent="0.3">
      <c r="A18" s="88" t="s">
        <v>280</v>
      </c>
      <c r="B18" s="84"/>
      <c r="C18" s="85"/>
      <c r="D18" s="8" t="s">
        <v>333</v>
      </c>
      <c r="E18" s="9" t="s">
        <v>334</v>
      </c>
      <c r="F18" s="10" t="s">
        <v>335</v>
      </c>
      <c r="G18" s="11" t="s">
        <v>336</v>
      </c>
      <c r="H18" s="10" t="s">
        <v>337</v>
      </c>
      <c r="I18" s="89" t="s">
        <v>7</v>
      </c>
      <c r="J18" s="90"/>
      <c r="K18" s="10" t="s">
        <v>338</v>
      </c>
      <c r="L18" s="9" t="s">
        <v>287</v>
      </c>
      <c r="M18" s="88" t="s">
        <v>302</v>
      </c>
      <c r="N18" s="85"/>
      <c r="O18" s="9" t="s">
        <v>289</v>
      </c>
    </row>
    <row r="19" spans="1:15" ht="2.85" customHeight="1" x14ac:dyDescent="0.3"/>
    <row r="20" spans="1:15" ht="11.4" customHeight="1" x14ac:dyDescent="0.3">
      <c r="A20" s="94" t="s">
        <v>339</v>
      </c>
      <c r="B20" s="81"/>
      <c r="C20" s="81"/>
      <c r="D20" s="81"/>
      <c r="E20" s="81"/>
      <c r="F20" s="81"/>
      <c r="G20" s="81"/>
      <c r="H20" s="12" t="s">
        <v>340</v>
      </c>
      <c r="I20" s="95" t="s">
        <v>9</v>
      </c>
      <c r="J20" s="96"/>
      <c r="K20" s="97" t="s">
        <v>291</v>
      </c>
      <c r="L20" s="81"/>
      <c r="M20" s="81"/>
      <c r="N20" s="97" t="s">
        <v>292</v>
      </c>
      <c r="O20" s="81"/>
    </row>
    <row r="21" spans="1:15" ht="11.4" customHeight="1" x14ac:dyDescent="0.3">
      <c r="F21" s="97" t="s">
        <v>293</v>
      </c>
      <c r="G21" s="81"/>
      <c r="H21" s="13" t="s">
        <v>341</v>
      </c>
      <c r="I21" s="98" t="s">
        <v>9</v>
      </c>
      <c r="J21" s="99"/>
      <c r="K21" s="100" t="s">
        <v>295</v>
      </c>
      <c r="L21" s="81"/>
      <c r="M21" s="81"/>
      <c r="N21" s="100" t="s">
        <v>295</v>
      </c>
      <c r="O21" s="81"/>
    </row>
    <row r="22" spans="1:15" ht="20.100000000000001" customHeight="1" x14ac:dyDescent="0.3"/>
    <row r="23" spans="1:15" ht="11.4" customHeight="1" x14ac:dyDescent="0.3">
      <c r="A23" s="91" t="s">
        <v>269</v>
      </c>
      <c r="B23" s="92"/>
      <c r="C23" s="93"/>
      <c r="D23" s="5" t="s">
        <v>270</v>
      </c>
      <c r="E23" s="6" t="s">
        <v>271</v>
      </c>
      <c r="F23" s="5" t="s">
        <v>272</v>
      </c>
      <c r="G23" s="6" t="s">
        <v>273</v>
      </c>
      <c r="H23" s="5" t="s">
        <v>274</v>
      </c>
      <c r="I23" s="86" t="s">
        <v>275</v>
      </c>
      <c r="J23" s="87"/>
      <c r="K23" s="5" t="s">
        <v>276</v>
      </c>
      <c r="L23" s="6" t="s">
        <v>277</v>
      </c>
      <c r="M23" s="83" t="s">
        <v>278</v>
      </c>
      <c r="N23" s="85"/>
      <c r="O23" s="7" t="s">
        <v>279</v>
      </c>
    </row>
    <row r="24" spans="1:15" ht="11.4" customHeight="1" x14ac:dyDescent="0.3">
      <c r="A24" s="88" t="s">
        <v>280</v>
      </c>
      <c r="B24" s="84"/>
      <c r="C24" s="85"/>
      <c r="D24" s="14" t="s">
        <v>342</v>
      </c>
      <c r="E24" s="9" t="s">
        <v>343</v>
      </c>
      <c r="F24" s="15" t="s">
        <v>344</v>
      </c>
      <c r="G24" s="11" t="s">
        <v>345</v>
      </c>
      <c r="H24" s="15" t="s">
        <v>346</v>
      </c>
      <c r="I24" s="89" t="s">
        <v>7</v>
      </c>
      <c r="J24" s="90"/>
      <c r="K24" s="15" t="s">
        <v>347</v>
      </c>
      <c r="L24" s="9" t="s">
        <v>287</v>
      </c>
      <c r="M24" s="88" t="s">
        <v>348</v>
      </c>
      <c r="N24" s="85"/>
      <c r="O24" s="9" t="s">
        <v>289</v>
      </c>
    </row>
    <row r="25" spans="1:15" ht="11.4" customHeight="1" x14ac:dyDescent="0.3">
      <c r="A25" s="101" t="s">
        <v>280</v>
      </c>
      <c r="B25" s="84"/>
      <c r="C25" s="85"/>
      <c r="D25" s="9" t="s">
        <v>349</v>
      </c>
      <c r="E25" s="14" t="s">
        <v>350</v>
      </c>
      <c r="F25" s="11" t="s">
        <v>351</v>
      </c>
      <c r="G25" s="15" t="s">
        <v>352</v>
      </c>
      <c r="H25" s="11" t="s">
        <v>353</v>
      </c>
      <c r="I25" s="89" t="s">
        <v>7</v>
      </c>
      <c r="J25" s="90"/>
      <c r="K25" s="11" t="s">
        <v>354</v>
      </c>
      <c r="L25" s="14" t="s">
        <v>287</v>
      </c>
      <c r="M25" s="88" t="s">
        <v>348</v>
      </c>
      <c r="N25" s="85"/>
      <c r="O25" s="16" t="s">
        <v>309</v>
      </c>
    </row>
    <row r="26" spans="1:15" ht="11.4" customHeight="1" x14ac:dyDescent="0.3">
      <c r="A26" s="88" t="s">
        <v>280</v>
      </c>
      <c r="B26" s="84"/>
      <c r="C26" s="85"/>
      <c r="D26" s="8" t="s">
        <v>355</v>
      </c>
      <c r="E26" s="9" t="s">
        <v>356</v>
      </c>
      <c r="F26" s="10" t="s">
        <v>357</v>
      </c>
      <c r="G26" s="11" t="s">
        <v>358</v>
      </c>
      <c r="H26" s="10" t="s">
        <v>359</v>
      </c>
      <c r="I26" s="89" t="s">
        <v>7</v>
      </c>
      <c r="J26" s="90"/>
      <c r="K26" s="10" t="s">
        <v>360</v>
      </c>
      <c r="L26" s="9" t="s">
        <v>287</v>
      </c>
      <c r="M26" s="88" t="s">
        <v>348</v>
      </c>
      <c r="N26" s="85"/>
      <c r="O26" s="9" t="s">
        <v>289</v>
      </c>
    </row>
    <row r="27" spans="1:15" ht="2.85" customHeight="1" x14ac:dyDescent="0.3"/>
    <row r="28" spans="1:15" ht="11.4" customHeight="1" x14ac:dyDescent="0.3">
      <c r="A28" s="94" t="s">
        <v>361</v>
      </c>
      <c r="B28" s="81"/>
      <c r="C28" s="81"/>
      <c r="D28" s="81"/>
      <c r="E28" s="81"/>
      <c r="F28" s="81"/>
      <c r="G28" s="81"/>
      <c r="H28" s="12" t="s">
        <v>362</v>
      </c>
      <c r="I28" s="95" t="s">
        <v>9</v>
      </c>
      <c r="J28" s="96"/>
      <c r="K28" s="97" t="s">
        <v>291</v>
      </c>
      <c r="L28" s="81"/>
      <c r="M28" s="81"/>
      <c r="N28" s="97" t="s">
        <v>292</v>
      </c>
      <c r="O28" s="81"/>
    </row>
    <row r="29" spans="1:15" ht="11.4" customHeight="1" x14ac:dyDescent="0.3">
      <c r="F29" s="97" t="s">
        <v>293</v>
      </c>
      <c r="G29" s="81"/>
      <c r="H29" s="13" t="s">
        <v>363</v>
      </c>
      <c r="I29" s="98" t="s">
        <v>9</v>
      </c>
      <c r="J29" s="99"/>
      <c r="K29" s="100" t="s">
        <v>295</v>
      </c>
      <c r="L29" s="81"/>
      <c r="M29" s="81"/>
      <c r="N29" s="100" t="s">
        <v>295</v>
      </c>
      <c r="O29" s="81"/>
    </row>
    <row r="30" spans="1:15" ht="20.100000000000001" customHeight="1" x14ac:dyDescent="0.3"/>
    <row r="31" spans="1:15" ht="11.4" customHeight="1" x14ac:dyDescent="0.3">
      <c r="A31" s="91" t="s">
        <v>269</v>
      </c>
      <c r="B31" s="92"/>
      <c r="C31" s="93"/>
      <c r="D31" s="5" t="s">
        <v>270</v>
      </c>
      <c r="E31" s="17" t="s">
        <v>271</v>
      </c>
      <c r="F31" s="5" t="s">
        <v>272</v>
      </c>
      <c r="G31" s="17" t="s">
        <v>273</v>
      </c>
      <c r="H31" s="5" t="s">
        <v>274</v>
      </c>
      <c r="I31" s="102" t="s">
        <v>275</v>
      </c>
      <c r="J31" s="103"/>
      <c r="K31" s="5" t="s">
        <v>276</v>
      </c>
      <c r="L31" s="17" t="s">
        <v>277</v>
      </c>
      <c r="M31" s="83" t="s">
        <v>278</v>
      </c>
      <c r="N31" s="85"/>
      <c r="O31" s="18" t="s">
        <v>279</v>
      </c>
    </row>
    <row r="32" spans="1:15" ht="11.4" customHeight="1" x14ac:dyDescent="0.3">
      <c r="A32" s="88" t="s">
        <v>280</v>
      </c>
      <c r="B32" s="84"/>
      <c r="C32" s="85"/>
      <c r="D32" s="8" t="s">
        <v>364</v>
      </c>
      <c r="E32" s="19" t="s">
        <v>365</v>
      </c>
      <c r="F32" s="10" t="s">
        <v>366</v>
      </c>
      <c r="G32" s="20" t="s">
        <v>367</v>
      </c>
      <c r="H32" s="10" t="s">
        <v>368</v>
      </c>
      <c r="I32" s="104" t="s">
        <v>7</v>
      </c>
      <c r="J32" s="103"/>
      <c r="K32" s="10" t="s">
        <v>369</v>
      </c>
      <c r="L32" s="19" t="s">
        <v>370</v>
      </c>
      <c r="M32" s="105" t="s">
        <v>371</v>
      </c>
      <c r="N32" s="106"/>
      <c r="O32" s="19" t="s">
        <v>309</v>
      </c>
    </row>
    <row r="33" spans="1:15" ht="11.4" customHeight="1" x14ac:dyDescent="0.3">
      <c r="A33" s="111" t="s">
        <v>280</v>
      </c>
      <c r="B33" s="112"/>
      <c r="C33" s="106"/>
      <c r="D33" s="19" t="s">
        <v>372</v>
      </c>
      <c r="E33" s="21" t="s">
        <v>373</v>
      </c>
      <c r="F33" s="20" t="s">
        <v>374</v>
      </c>
      <c r="G33" s="22" t="s">
        <v>375</v>
      </c>
      <c r="H33" s="20" t="s">
        <v>376</v>
      </c>
      <c r="I33" s="104" t="s">
        <v>7</v>
      </c>
      <c r="J33" s="103"/>
      <c r="K33" s="20" t="s">
        <v>354</v>
      </c>
      <c r="L33" s="21" t="s">
        <v>370</v>
      </c>
      <c r="M33" s="110" t="s">
        <v>371</v>
      </c>
      <c r="N33" s="109"/>
      <c r="O33" s="23" t="s">
        <v>289</v>
      </c>
    </row>
    <row r="34" spans="1:15" ht="11.4" customHeight="1" x14ac:dyDescent="0.3">
      <c r="A34" s="110" t="s">
        <v>280</v>
      </c>
      <c r="B34" s="108"/>
      <c r="C34" s="109"/>
      <c r="D34" s="21" t="s">
        <v>377</v>
      </c>
      <c r="E34" s="19" t="s">
        <v>378</v>
      </c>
      <c r="F34" s="22" t="s">
        <v>379</v>
      </c>
      <c r="G34" s="20" t="s">
        <v>380</v>
      </c>
      <c r="H34" s="22" t="s">
        <v>381</v>
      </c>
      <c r="I34" s="104" t="s">
        <v>7</v>
      </c>
      <c r="J34" s="103"/>
      <c r="K34" s="22" t="s">
        <v>382</v>
      </c>
      <c r="L34" s="19" t="s">
        <v>287</v>
      </c>
      <c r="M34" s="110" t="s">
        <v>371</v>
      </c>
      <c r="N34" s="109"/>
      <c r="O34" s="19" t="s">
        <v>289</v>
      </c>
    </row>
    <row r="35" spans="1:15" ht="11.4" customHeight="1" x14ac:dyDescent="0.3">
      <c r="A35" s="107" t="s">
        <v>280</v>
      </c>
      <c r="B35" s="108"/>
      <c r="C35" s="109"/>
      <c r="D35" s="19" t="s">
        <v>383</v>
      </c>
      <c r="E35" s="21" t="s">
        <v>384</v>
      </c>
      <c r="F35" s="20" t="s">
        <v>385</v>
      </c>
      <c r="G35" s="22" t="s">
        <v>386</v>
      </c>
      <c r="H35" s="20" t="s">
        <v>387</v>
      </c>
      <c r="I35" s="104" t="s">
        <v>7</v>
      </c>
      <c r="J35" s="103"/>
      <c r="K35" s="20" t="s">
        <v>388</v>
      </c>
      <c r="L35" s="21" t="s">
        <v>370</v>
      </c>
      <c r="M35" s="110" t="s">
        <v>371</v>
      </c>
      <c r="N35" s="109"/>
      <c r="O35" s="23" t="s">
        <v>289</v>
      </c>
    </row>
    <row r="36" spans="1:15" ht="11.4" customHeight="1" x14ac:dyDescent="0.3">
      <c r="A36" s="110" t="s">
        <v>280</v>
      </c>
      <c r="B36" s="108"/>
      <c r="C36" s="109"/>
      <c r="D36" s="21" t="s">
        <v>389</v>
      </c>
      <c r="E36" s="19" t="s">
        <v>390</v>
      </c>
      <c r="F36" s="22" t="s">
        <v>391</v>
      </c>
      <c r="G36" s="20" t="s">
        <v>392</v>
      </c>
      <c r="H36" s="22" t="s">
        <v>393</v>
      </c>
      <c r="I36" s="104" t="s">
        <v>7</v>
      </c>
      <c r="J36" s="103"/>
      <c r="K36" s="22" t="s">
        <v>394</v>
      </c>
      <c r="L36" s="19" t="s">
        <v>370</v>
      </c>
      <c r="M36" s="110" t="s">
        <v>371</v>
      </c>
      <c r="N36" s="109"/>
      <c r="O36" s="19" t="s">
        <v>309</v>
      </c>
    </row>
    <row r="37" spans="1:15" ht="11.4" customHeight="1" x14ac:dyDescent="0.3">
      <c r="A37" s="107" t="s">
        <v>280</v>
      </c>
      <c r="B37" s="108"/>
      <c r="C37" s="109"/>
      <c r="D37" s="19" t="s">
        <v>395</v>
      </c>
      <c r="E37" s="21" t="s">
        <v>396</v>
      </c>
      <c r="F37" s="20" t="s">
        <v>397</v>
      </c>
      <c r="G37" s="22" t="s">
        <v>398</v>
      </c>
      <c r="H37" s="20" t="s">
        <v>399</v>
      </c>
      <c r="I37" s="104" t="s">
        <v>7</v>
      </c>
      <c r="J37" s="103"/>
      <c r="K37" s="20" t="s">
        <v>400</v>
      </c>
      <c r="L37" s="21" t="s">
        <v>370</v>
      </c>
      <c r="M37" s="110" t="s">
        <v>371</v>
      </c>
      <c r="N37" s="109"/>
      <c r="O37" s="23" t="s">
        <v>289</v>
      </c>
    </row>
    <row r="38" spans="1:15" ht="11.4" customHeight="1" x14ac:dyDescent="0.3">
      <c r="A38" s="110" t="s">
        <v>280</v>
      </c>
      <c r="B38" s="108"/>
      <c r="C38" s="109"/>
      <c r="D38" s="21" t="s">
        <v>401</v>
      </c>
      <c r="E38" s="19" t="s">
        <v>402</v>
      </c>
      <c r="F38" s="22" t="s">
        <v>403</v>
      </c>
      <c r="G38" s="20" t="s">
        <v>404</v>
      </c>
      <c r="H38" s="22" t="s">
        <v>405</v>
      </c>
      <c r="I38" s="104" t="s">
        <v>7</v>
      </c>
      <c r="J38" s="103"/>
      <c r="K38" s="22" t="s">
        <v>406</v>
      </c>
      <c r="L38" s="19" t="s">
        <v>370</v>
      </c>
      <c r="M38" s="110" t="s">
        <v>371</v>
      </c>
      <c r="N38" s="109"/>
      <c r="O38" s="19" t="s">
        <v>289</v>
      </c>
    </row>
    <row r="39" spans="1:15" ht="11.4" customHeight="1" x14ac:dyDescent="0.3">
      <c r="A39" s="107" t="s">
        <v>280</v>
      </c>
      <c r="B39" s="108"/>
      <c r="C39" s="109"/>
      <c r="D39" s="19" t="s">
        <v>407</v>
      </c>
      <c r="E39" s="21" t="s">
        <v>408</v>
      </c>
      <c r="F39" s="20" t="s">
        <v>409</v>
      </c>
      <c r="G39" s="22" t="s">
        <v>410</v>
      </c>
      <c r="H39" s="20" t="s">
        <v>337</v>
      </c>
      <c r="I39" s="104" t="s">
        <v>7</v>
      </c>
      <c r="J39" s="103"/>
      <c r="K39" s="20" t="s">
        <v>411</v>
      </c>
      <c r="L39" s="21" t="s">
        <v>370</v>
      </c>
      <c r="M39" s="110" t="s">
        <v>371</v>
      </c>
      <c r="N39" s="109"/>
      <c r="O39" s="23" t="s">
        <v>309</v>
      </c>
    </row>
    <row r="40" spans="1:15" ht="11.4" customHeight="1" x14ac:dyDescent="0.3">
      <c r="A40" s="110" t="s">
        <v>280</v>
      </c>
      <c r="B40" s="108"/>
      <c r="C40" s="109"/>
      <c r="D40" s="21" t="s">
        <v>412</v>
      </c>
      <c r="E40" s="19" t="s">
        <v>413</v>
      </c>
      <c r="F40" s="22" t="s">
        <v>414</v>
      </c>
      <c r="G40" s="20" t="s">
        <v>392</v>
      </c>
      <c r="H40" s="22" t="s">
        <v>415</v>
      </c>
      <c r="I40" s="104" t="s">
        <v>7</v>
      </c>
      <c r="J40" s="103"/>
      <c r="K40" s="22" t="s">
        <v>416</v>
      </c>
      <c r="L40" s="19" t="s">
        <v>370</v>
      </c>
      <c r="M40" s="110" t="s">
        <v>371</v>
      </c>
      <c r="N40" s="109"/>
      <c r="O40" s="19" t="s">
        <v>309</v>
      </c>
    </row>
    <row r="41" spans="1:15" ht="11.4" customHeight="1" x14ac:dyDescent="0.3">
      <c r="A41" s="107" t="s">
        <v>280</v>
      </c>
      <c r="B41" s="108"/>
      <c r="C41" s="109"/>
      <c r="D41" s="19" t="s">
        <v>417</v>
      </c>
      <c r="E41" s="21" t="s">
        <v>418</v>
      </c>
      <c r="F41" s="20" t="s">
        <v>419</v>
      </c>
      <c r="G41" s="22" t="s">
        <v>420</v>
      </c>
      <c r="H41" s="20" t="s">
        <v>421</v>
      </c>
      <c r="I41" s="104" t="s">
        <v>7</v>
      </c>
      <c r="J41" s="103"/>
      <c r="K41" s="20" t="s">
        <v>422</v>
      </c>
      <c r="L41" s="21" t="s">
        <v>370</v>
      </c>
      <c r="M41" s="110" t="s">
        <v>371</v>
      </c>
      <c r="N41" s="109"/>
      <c r="O41" s="23" t="s">
        <v>309</v>
      </c>
    </row>
    <row r="42" spans="1:15" ht="11.4" customHeight="1" x14ac:dyDescent="0.3">
      <c r="A42" s="110" t="s">
        <v>280</v>
      </c>
      <c r="B42" s="108"/>
      <c r="C42" s="109"/>
      <c r="D42" s="21" t="s">
        <v>423</v>
      </c>
      <c r="E42" s="19" t="s">
        <v>424</v>
      </c>
      <c r="F42" s="22" t="s">
        <v>425</v>
      </c>
      <c r="G42" s="20" t="s">
        <v>426</v>
      </c>
      <c r="H42" s="22" t="s">
        <v>427</v>
      </c>
      <c r="I42" s="104" t="s">
        <v>7</v>
      </c>
      <c r="J42" s="103"/>
      <c r="K42" s="22" t="s">
        <v>428</v>
      </c>
      <c r="L42" s="19" t="s">
        <v>287</v>
      </c>
      <c r="M42" s="110" t="s">
        <v>371</v>
      </c>
      <c r="N42" s="109"/>
      <c r="O42" s="19" t="s">
        <v>289</v>
      </c>
    </row>
    <row r="43" spans="1:15" ht="11.4" customHeight="1" x14ac:dyDescent="0.3">
      <c r="A43" s="107" t="s">
        <v>280</v>
      </c>
      <c r="B43" s="108"/>
      <c r="C43" s="109"/>
      <c r="D43" s="19" t="s">
        <v>429</v>
      </c>
      <c r="E43" s="21" t="s">
        <v>430</v>
      </c>
      <c r="F43" s="20" t="s">
        <v>431</v>
      </c>
      <c r="G43" s="22" t="s">
        <v>432</v>
      </c>
      <c r="H43" s="20" t="s">
        <v>433</v>
      </c>
      <c r="I43" s="104" t="s">
        <v>7</v>
      </c>
      <c r="J43" s="103"/>
      <c r="K43" s="20" t="s">
        <v>434</v>
      </c>
      <c r="L43" s="21" t="s">
        <v>287</v>
      </c>
      <c r="M43" s="110" t="s">
        <v>371</v>
      </c>
      <c r="N43" s="109"/>
      <c r="O43" s="23" t="s">
        <v>289</v>
      </c>
    </row>
    <row r="44" spans="1:15" ht="11.4" customHeight="1" x14ac:dyDescent="0.3">
      <c r="A44" s="110" t="s">
        <v>280</v>
      </c>
      <c r="B44" s="108"/>
      <c r="C44" s="109"/>
      <c r="D44" s="21" t="s">
        <v>435</v>
      </c>
      <c r="E44" s="19" t="s">
        <v>436</v>
      </c>
      <c r="F44" s="22" t="s">
        <v>437</v>
      </c>
      <c r="G44" s="20" t="s">
        <v>410</v>
      </c>
      <c r="H44" s="22" t="s">
        <v>438</v>
      </c>
      <c r="I44" s="104" t="s">
        <v>7</v>
      </c>
      <c r="J44" s="103"/>
      <c r="K44" s="22" t="s">
        <v>320</v>
      </c>
      <c r="L44" s="19" t="s">
        <v>287</v>
      </c>
      <c r="M44" s="110" t="s">
        <v>371</v>
      </c>
      <c r="N44" s="109"/>
      <c r="O44" s="19" t="s">
        <v>289</v>
      </c>
    </row>
    <row r="45" spans="1:15" ht="11.4" customHeight="1" x14ac:dyDescent="0.3">
      <c r="A45" s="107" t="s">
        <v>280</v>
      </c>
      <c r="B45" s="108"/>
      <c r="C45" s="109"/>
      <c r="D45" s="19" t="s">
        <v>439</v>
      </c>
      <c r="E45" s="21" t="s">
        <v>440</v>
      </c>
      <c r="F45" s="20" t="s">
        <v>374</v>
      </c>
      <c r="G45" s="22" t="s">
        <v>441</v>
      </c>
      <c r="H45" s="20" t="s">
        <v>442</v>
      </c>
      <c r="I45" s="104" t="s">
        <v>7</v>
      </c>
      <c r="J45" s="103"/>
      <c r="K45" s="20" t="s">
        <v>443</v>
      </c>
      <c r="L45" s="21" t="s">
        <v>287</v>
      </c>
      <c r="M45" s="110" t="s">
        <v>371</v>
      </c>
      <c r="N45" s="109"/>
      <c r="O45" s="23" t="s">
        <v>309</v>
      </c>
    </row>
    <row r="46" spans="1:15" ht="11.4" customHeight="1" x14ac:dyDescent="0.3">
      <c r="A46" s="110" t="s">
        <v>280</v>
      </c>
      <c r="B46" s="108"/>
      <c r="C46" s="109"/>
      <c r="D46" s="21" t="s">
        <v>444</v>
      </c>
      <c r="E46" s="19" t="s">
        <v>445</v>
      </c>
      <c r="F46" s="22" t="s">
        <v>446</v>
      </c>
      <c r="G46" s="20" t="s">
        <v>447</v>
      </c>
      <c r="H46" s="22" t="s">
        <v>448</v>
      </c>
      <c r="I46" s="104" t="s">
        <v>7</v>
      </c>
      <c r="J46" s="103"/>
      <c r="K46" s="22" t="s">
        <v>449</v>
      </c>
      <c r="L46" s="19" t="s">
        <v>287</v>
      </c>
      <c r="M46" s="110" t="s">
        <v>371</v>
      </c>
      <c r="N46" s="109"/>
      <c r="O46" s="19" t="s">
        <v>309</v>
      </c>
    </row>
    <row r="47" spans="1:15" ht="11.4" customHeight="1" x14ac:dyDescent="0.3">
      <c r="A47" s="107" t="s">
        <v>280</v>
      </c>
      <c r="B47" s="108"/>
      <c r="C47" s="109"/>
      <c r="D47" s="19" t="s">
        <v>450</v>
      </c>
      <c r="E47" s="21" t="s">
        <v>451</v>
      </c>
      <c r="F47" s="20" t="s">
        <v>452</v>
      </c>
      <c r="G47" s="22" t="s">
        <v>453</v>
      </c>
      <c r="H47" s="20" t="s">
        <v>454</v>
      </c>
      <c r="I47" s="104" t="s">
        <v>7</v>
      </c>
      <c r="J47" s="103"/>
      <c r="K47" s="20" t="s">
        <v>455</v>
      </c>
      <c r="L47" s="21" t="s">
        <v>287</v>
      </c>
      <c r="M47" s="110" t="s">
        <v>371</v>
      </c>
      <c r="N47" s="109"/>
      <c r="O47" s="23" t="s">
        <v>289</v>
      </c>
    </row>
    <row r="48" spans="1:15" ht="11.4" customHeight="1" x14ac:dyDescent="0.3">
      <c r="A48" s="110" t="s">
        <v>280</v>
      </c>
      <c r="B48" s="108"/>
      <c r="C48" s="109"/>
      <c r="D48" s="21" t="s">
        <v>456</v>
      </c>
      <c r="E48" s="19" t="s">
        <v>457</v>
      </c>
      <c r="F48" s="22" t="s">
        <v>458</v>
      </c>
      <c r="G48" s="20" t="s">
        <v>459</v>
      </c>
      <c r="H48" s="22" t="s">
        <v>460</v>
      </c>
      <c r="I48" s="104" t="s">
        <v>7</v>
      </c>
      <c r="J48" s="103"/>
      <c r="K48" s="22" t="s">
        <v>332</v>
      </c>
      <c r="L48" s="19" t="s">
        <v>287</v>
      </c>
      <c r="M48" s="110" t="s">
        <v>371</v>
      </c>
      <c r="N48" s="109"/>
      <c r="O48" s="19" t="s">
        <v>289</v>
      </c>
    </row>
    <row r="49" spans="1:15" ht="11.4" customHeight="1" x14ac:dyDescent="0.3">
      <c r="A49" s="107" t="s">
        <v>280</v>
      </c>
      <c r="B49" s="108"/>
      <c r="C49" s="109"/>
      <c r="D49" s="19" t="s">
        <v>461</v>
      </c>
      <c r="E49" s="21" t="s">
        <v>462</v>
      </c>
      <c r="F49" s="20" t="s">
        <v>463</v>
      </c>
      <c r="G49" s="24" t="s">
        <v>464</v>
      </c>
      <c r="H49" s="20" t="s">
        <v>465</v>
      </c>
      <c r="I49" s="115" t="s">
        <v>7</v>
      </c>
      <c r="J49" s="87"/>
      <c r="K49" s="20" t="s">
        <v>466</v>
      </c>
      <c r="L49" s="25" t="s">
        <v>287</v>
      </c>
      <c r="M49" s="110" t="s">
        <v>371</v>
      </c>
      <c r="N49" s="109"/>
      <c r="O49" s="26" t="s">
        <v>289</v>
      </c>
    </row>
    <row r="50" spans="1:15" ht="11.4" customHeight="1" x14ac:dyDescent="0.3">
      <c r="A50" s="110" t="s">
        <v>280</v>
      </c>
      <c r="B50" s="108"/>
      <c r="C50" s="109"/>
      <c r="D50" s="25" t="s">
        <v>467</v>
      </c>
      <c r="E50" s="19" t="s">
        <v>468</v>
      </c>
      <c r="F50" s="24" t="s">
        <v>469</v>
      </c>
      <c r="G50" s="11" t="s">
        <v>404</v>
      </c>
      <c r="H50" s="24" t="s">
        <v>470</v>
      </c>
      <c r="I50" s="89" t="s">
        <v>7</v>
      </c>
      <c r="J50" s="90"/>
      <c r="K50" s="24" t="s">
        <v>471</v>
      </c>
      <c r="L50" s="9" t="s">
        <v>287</v>
      </c>
      <c r="M50" s="116" t="s">
        <v>371</v>
      </c>
      <c r="N50" s="93"/>
      <c r="O50" s="9" t="s">
        <v>309</v>
      </c>
    </row>
    <row r="51" spans="1:15" ht="11.4" customHeight="1" x14ac:dyDescent="0.3">
      <c r="A51" s="107" t="s">
        <v>280</v>
      </c>
      <c r="B51" s="108"/>
      <c r="C51" s="109"/>
      <c r="D51" s="9" t="s">
        <v>472</v>
      </c>
      <c r="E51" s="21" t="s">
        <v>473</v>
      </c>
      <c r="F51" s="11" t="s">
        <v>474</v>
      </c>
      <c r="G51" s="10" t="s">
        <v>475</v>
      </c>
      <c r="H51" s="11" t="s">
        <v>476</v>
      </c>
      <c r="I51" s="113" t="s">
        <v>7</v>
      </c>
      <c r="J51" s="114"/>
      <c r="K51" s="11" t="s">
        <v>477</v>
      </c>
      <c r="L51" s="8" t="s">
        <v>370</v>
      </c>
      <c r="M51" s="88" t="s">
        <v>371</v>
      </c>
      <c r="N51" s="85"/>
      <c r="O51" s="9" t="s">
        <v>289</v>
      </c>
    </row>
    <row r="52" spans="1:15" ht="2.85" customHeight="1" x14ac:dyDescent="0.3"/>
    <row r="53" spans="1:15" ht="11.4" customHeight="1" x14ac:dyDescent="0.3">
      <c r="A53" s="94" t="s">
        <v>478</v>
      </c>
      <c r="B53" s="81"/>
      <c r="C53" s="81"/>
      <c r="D53" s="81"/>
      <c r="E53" s="81"/>
      <c r="F53" s="81"/>
      <c r="G53" s="81"/>
      <c r="H53" s="12" t="s">
        <v>479</v>
      </c>
      <c r="I53" s="95" t="s">
        <v>9</v>
      </c>
      <c r="J53" s="96"/>
      <c r="K53" s="97" t="s">
        <v>291</v>
      </c>
      <c r="L53" s="81"/>
      <c r="M53" s="81"/>
      <c r="N53" s="97" t="s">
        <v>292</v>
      </c>
      <c r="O53" s="81"/>
    </row>
    <row r="54" spans="1:15" ht="11.4" customHeight="1" x14ac:dyDescent="0.3">
      <c r="F54" s="97" t="s">
        <v>293</v>
      </c>
      <c r="G54" s="81"/>
      <c r="H54" s="13" t="s">
        <v>480</v>
      </c>
      <c r="I54" s="98" t="s">
        <v>9</v>
      </c>
      <c r="J54" s="99"/>
      <c r="K54" s="100" t="s">
        <v>295</v>
      </c>
      <c r="L54" s="81"/>
      <c r="M54" s="81"/>
      <c r="N54" s="100" t="s">
        <v>295</v>
      </c>
      <c r="O54" s="81"/>
    </row>
    <row r="55" spans="1:15" ht="20.100000000000001" customHeight="1" x14ac:dyDescent="0.3"/>
    <row r="56" spans="1:15" ht="11.4" customHeight="1" x14ac:dyDescent="0.3">
      <c r="A56" s="83" t="s">
        <v>269</v>
      </c>
      <c r="B56" s="84"/>
      <c r="C56" s="85"/>
      <c r="D56" s="6" t="s">
        <v>270</v>
      </c>
      <c r="E56" s="5" t="s">
        <v>271</v>
      </c>
      <c r="F56" s="6" t="s">
        <v>272</v>
      </c>
      <c r="G56" s="5" t="s">
        <v>273</v>
      </c>
      <c r="H56" s="6" t="s">
        <v>274</v>
      </c>
      <c r="I56" s="119" t="s">
        <v>275</v>
      </c>
      <c r="J56" s="90"/>
      <c r="K56" s="6" t="s">
        <v>276</v>
      </c>
      <c r="L56" s="5" t="s">
        <v>277</v>
      </c>
      <c r="M56" s="120" t="s">
        <v>278</v>
      </c>
      <c r="N56" s="93"/>
      <c r="O56" s="5" t="s">
        <v>279</v>
      </c>
    </row>
    <row r="57" spans="1:15" ht="11.4" customHeight="1" x14ac:dyDescent="0.3">
      <c r="A57" s="101" t="s">
        <v>280</v>
      </c>
      <c r="B57" s="84"/>
      <c r="C57" s="85"/>
      <c r="D57" s="9" t="s">
        <v>481</v>
      </c>
      <c r="E57" s="14" t="s">
        <v>482</v>
      </c>
      <c r="F57" s="11" t="s">
        <v>483</v>
      </c>
      <c r="G57" s="15" t="s">
        <v>484</v>
      </c>
      <c r="H57" s="11" t="s">
        <v>7</v>
      </c>
      <c r="I57" s="117" t="s">
        <v>454</v>
      </c>
      <c r="J57" s="118"/>
      <c r="K57" s="11" t="s">
        <v>485</v>
      </c>
      <c r="L57" s="14" t="s">
        <v>4</v>
      </c>
      <c r="M57" s="88" t="s">
        <v>486</v>
      </c>
      <c r="N57" s="85"/>
      <c r="O57" s="16" t="s">
        <v>309</v>
      </c>
    </row>
    <row r="58" spans="1:15" ht="11.4" customHeight="1" x14ac:dyDescent="0.3">
      <c r="A58" s="88" t="s">
        <v>280</v>
      </c>
      <c r="B58" s="84"/>
      <c r="C58" s="85"/>
      <c r="D58" s="14" t="s">
        <v>487</v>
      </c>
      <c r="E58" s="9" t="s">
        <v>488</v>
      </c>
      <c r="F58" s="15" t="s">
        <v>489</v>
      </c>
      <c r="G58" s="11" t="s">
        <v>490</v>
      </c>
      <c r="H58" s="15" t="s">
        <v>7</v>
      </c>
      <c r="I58" s="117" t="s">
        <v>491</v>
      </c>
      <c r="J58" s="118"/>
      <c r="K58" s="15" t="s">
        <v>492</v>
      </c>
      <c r="L58" s="9" t="s">
        <v>4</v>
      </c>
      <c r="M58" s="88" t="s">
        <v>486</v>
      </c>
      <c r="N58" s="85"/>
      <c r="O58" s="9" t="s">
        <v>289</v>
      </c>
    </row>
    <row r="59" spans="1:15" ht="11.4" customHeight="1" x14ac:dyDescent="0.3">
      <c r="A59" s="101" t="s">
        <v>280</v>
      </c>
      <c r="B59" s="84"/>
      <c r="C59" s="85"/>
      <c r="D59" s="9" t="s">
        <v>493</v>
      </c>
      <c r="E59" s="14" t="s">
        <v>494</v>
      </c>
      <c r="F59" s="11" t="s">
        <v>391</v>
      </c>
      <c r="G59" s="15" t="s">
        <v>495</v>
      </c>
      <c r="H59" s="11" t="s">
        <v>7</v>
      </c>
      <c r="I59" s="117" t="s">
        <v>496</v>
      </c>
      <c r="J59" s="118"/>
      <c r="K59" s="11" t="s">
        <v>497</v>
      </c>
      <c r="L59" s="14" t="s">
        <v>4</v>
      </c>
      <c r="M59" s="88" t="s">
        <v>486</v>
      </c>
      <c r="N59" s="85"/>
      <c r="O59" s="16" t="s">
        <v>289</v>
      </c>
    </row>
    <row r="60" spans="1:15" ht="11.4" customHeight="1" x14ac:dyDescent="0.3">
      <c r="A60" s="88" t="s">
        <v>280</v>
      </c>
      <c r="B60" s="84"/>
      <c r="C60" s="85"/>
      <c r="D60" s="14" t="s">
        <v>498</v>
      </c>
      <c r="E60" s="9" t="s">
        <v>499</v>
      </c>
      <c r="F60" s="15" t="s">
        <v>500</v>
      </c>
      <c r="G60" s="11" t="s">
        <v>501</v>
      </c>
      <c r="H60" s="15" t="s">
        <v>7</v>
      </c>
      <c r="I60" s="117" t="s">
        <v>502</v>
      </c>
      <c r="J60" s="118"/>
      <c r="K60" s="15" t="s">
        <v>503</v>
      </c>
      <c r="L60" s="9" t="s">
        <v>4</v>
      </c>
      <c r="M60" s="88" t="s">
        <v>486</v>
      </c>
      <c r="N60" s="85"/>
      <c r="O60" s="9" t="s">
        <v>289</v>
      </c>
    </row>
    <row r="61" spans="1:15" ht="11.4" customHeight="1" x14ac:dyDescent="0.3">
      <c r="A61" s="101" t="s">
        <v>280</v>
      </c>
      <c r="B61" s="84"/>
      <c r="C61" s="85"/>
      <c r="D61" s="9" t="s">
        <v>504</v>
      </c>
      <c r="E61" s="14" t="s">
        <v>505</v>
      </c>
      <c r="F61" s="11" t="s">
        <v>506</v>
      </c>
      <c r="G61" s="15" t="s">
        <v>507</v>
      </c>
      <c r="H61" s="11" t="s">
        <v>7</v>
      </c>
      <c r="I61" s="117" t="s">
        <v>508</v>
      </c>
      <c r="J61" s="118"/>
      <c r="K61" s="11" t="s">
        <v>509</v>
      </c>
      <c r="L61" s="14" t="s">
        <v>4</v>
      </c>
      <c r="M61" s="88" t="s">
        <v>486</v>
      </c>
      <c r="N61" s="85"/>
      <c r="O61" s="16" t="s">
        <v>309</v>
      </c>
    </row>
    <row r="62" spans="1:15" ht="11.4" customHeight="1" x14ac:dyDescent="0.3">
      <c r="A62" s="88" t="s">
        <v>280</v>
      </c>
      <c r="B62" s="84"/>
      <c r="C62" s="85"/>
      <c r="D62" s="8" t="s">
        <v>510</v>
      </c>
      <c r="E62" s="9" t="s">
        <v>511</v>
      </c>
      <c r="F62" s="10" t="s">
        <v>397</v>
      </c>
      <c r="G62" s="11" t="s">
        <v>512</v>
      </c>
      <c r="H62" s="10" t="s">
        <v>7</v>
      </c>
      <c r="I62" s="117" t="s">
        <v>513</v>
      </c>
      <c r="J62" s="118"/>
      <c r="K62" s="10" t="s">
        <v>514</v>
      </c>
      <c r="L62" s="9" t="s">
        <v>4</v>
      </c>
      <c r="M62" s="105" t="s">
        <v>486</v>
      </c>
      <c r="N62" s="106"/>
      <c r="O62" s="9" t="s">
        <v>289</v>
      </c>
    </row>
    <row r="63" spans="1:15" ht="14.25" customHeight="1" x14ac:dyDescent="0.3"/>
    <row r="64" spans="1:15" ht="14.25" customHeight="1" x14ac:dyDescent="0.3">
      <c r="A64" s="126" t="s">
        <v>515</v>
      </c>
      <c r="B64" s="81"/>
      <c r="C64" s="81"/>
      <c r="D64" s="81"/>
      <c r="E64" s="81"/>
      <c r="F64" s="81"/>
      <c r="G64" s="81"/>
      <c r="H64" s="81"/>
      <c r="I64" s="81"/>
      <c r="J64" s="127" t="s">
        <v>516</v>
      </c>
      <c r="K64" s="81"/>
      <c r="L64" s="81"/>
      <c r="M64" s="81"/>
      <c r="N64" s="81"/>
      <c r="O64" s="81"/>
    </row>
    <row r="65" spans="1:15" ht="0.6" customHeight="1" x14ac:dyDescent="0.3"/>
    <row r="66" spans="1:15" ht="11.4" customHeight="1" x14ac:dyDescent="0.3">
      <c r="A66" s="121" t="s">
        <v>280</v>
      </c>
      <c r="B66" s="92"/>
      <c r="C66" s="93"/>
      <c r="D66" s="9" t="s">
        <v>517</v>
      </c>
      <c r="E66" s="25" t="s">
        <v>518</v>
      </c>
      <c r="F66" s="11" t="s">
        <v>519</v>
      </c>
      <c r="G66" s="24" t="s">
        <v>501</v>
      </c>
      <c r="H66" s="27">
        <f>I66-K66</f>
        <v>25793</v>
      </c>
      <c r="I66" s="122" t="s">
        <v>520</v>
      </c>
      <c r="J66" s="123"/>
      <c r="K66" s="27" t="s">
        <v>521</v>
      </c>
      <c r="L66" s="25" t="s">
        <v>4</v>
      </c>
      <c r="M66" s="105" t="s">
        <v>486</v>
      </c>
      <c r="N66" s="106"/>
      <c r="O66" s="26" t="s">
        <v>289</v>
      </c>
    </row>
    <row r="67" spans="1:15" ht="11.4" customHeight="1" x14ac:dyDescent="0.3">
      <c r="A67" s="105" t="s">
        <v>280</v>
      </c>
      <c r="B67" s="112"/>
      <c r="C67" s="106"/>
      <c r="D67" s="14" t="s">
        <v>522</v>
      </c>
      <c r="E67" s="28" t="s">
        <v>523</v>
      </c>
      <c r="F67" s="15" t="s">
        <v>524</v>
      </c>
      <c r="G67" s="27" t="s">
        <v>525</v>
      </c>
      <c r="H67" s="27">
        <f t="shared" ref="H67:H86" si="0">I67-K67</f>
        <v>27118</v>
      </c>
      <c r="I67" s="124" t="s">
        <v>526</v>
      </c>
      <c r="J67" s="125"/>
      <c r="K67" s="24" t="s">
        <v>527</v>
      </c>
      <c r="L67" s="28" t="s">
        <v>4</v>
      </c>
      <c r="M67" s="116" t="s">
        <v>486</v>
      </c>
      <c r="N67" s="93"/>
      <c r="O67" s="28" t="s">
        <v>309</v>
      </c>
    </row>
    <row r="68" spans="1:15" ht="11.4" customHeight="1" x14ac:dyDescent="0.3">
      <c r="A68" s="121" t="s">
        <v>280</v>
      </c>
      <c r="B68" s="92"/>
      <c r="C68" s="93"/>
      <c r="D68" s="28" t="s">
        <v>377</v>
      </c>
      <c r="E68" s="25" t="s">
        <v>528</v>
      </c>
      <c r="F68" s="27" t="s">
        <v>529</v>
      </c>
      <c r="G68" s="24" t="s">
        <v>380</v>
      </c>
      <c r="H68" s="27">
        <f t="shared" si="0"/>
        <v>25038</v>
      </c>
      <c r="I68" s="122" t="s">
        <v>325</v>
      </c>
      <c r="J68" s="123"/>
      <c r="K68" s="27" t="s">
        <v>530</v>
      </c>
      <c r="L68" s="25" t="s">
        <v>4</v>
      </c>
      <c r="M68" s="105" t="s">
        <v>486</v>
      </c>
      <c r="N68" s="106"/>
      <c r="O68" s="26" t="s">
        <v>289</v>
      </c>
    </row>
    <row r="69" spans="1:15" ht="11.4" customHeight="1" x14ac:dyDescent="0.3">
      <c r="A69" s="105" t="s">
        <v>280</v>
      </c>
      <c r="B69" s="112"/>
      <c r="C69" s="106"/>
      <c r="D69" s="25" t="s">
        <v>281</v>
      </c>
      <c r="E69" s="28" t="s">
        <v>531</v>
      </c>
      <c r="F69" s="24" t="s">
        <v>532</v>
      </c>
      <c r="G69" s="27" t="s">
        <v>284</v>
      </c>
      <c r="H69" s="27">
        <f t="shared" si="0"/>
        <v>24964</v>
      </c>
      <c r="I69" s="124" t="s">
        <v>533</v>
      </c>
      <c r="J69" s="125"/>
      <c r="K69" s="24" t="s">
        <v>534</v>
      </c>
      <c r="L69" s="28" t="s">
        <v>4</v>
      </c>
      <c r="M69" s="116" t="s">
        <v>486</v>
      </c>
      <c r="N69" s="93"/>
      <c r="O69" s="28" t="s">
        <v>289</v>
      </c>
    </row>
    <row r="70" spans="1:15" ht="11.4" customHeight="1" x14ac:dyDescent="0.3">
      <c r="A70" s="121" t="s">
        <v>280</v>
      </c>
      <c r="B70" s="92"/>
      <c r="C70" s="93"/>
      <c r="D70" s="28" t="s">
        <v>535</v>
      </c>
      <c r="E70" s="25" t="s">
        <v>536</v>
      </c>
      <c r="F70" s="27" t="s">
        <v>537</v>
      </c>
      <c r="G70" s="24" t="s">
        <v>367</v>
      </c>
      <c r="H70" s="27">
        <f t="shared" si="0"/>
        <v>25862</v>
      </c>
      <c r="I70" s="122" t="s">
        <v>538</v>
      </c>
      <c r="J70" s="123"/>
      <c r="K70" s="27" t="s">
        <v>539</v>
      </c>
      <c r="L70" s="25" t="s">
        <v>4</v>
      </c>
      <c r="M70" s="105" t="s">
        <v>486</v>
      </c>
      <c r="N70" s="106"/>
      <c r="O70" s="26" t="s">
        <v>309</v>
      </c>
    </row>
    <row r="71" spans="1:15" ht="11.4" customHeight="1" x14ac:dyDescent="0.3">
      <c r="A71" s="105" t="s">
        <v>280</v>
      </c>
      <c r="B71" s="112"/>
      <c r="C71" s="106"/>
      <c r="D71" s="25" t="s">
        <v>540</v>
      </c>
      <c r="E71" s="28" t="s">
        <v>541</v>
      </c>
      <c r="F71" s="24" t="s">
        <v>542</v>
      </c>
      <c r="G71" s="27" t="s">
        <v>543</v>
      </c>
      <c r="H71" s="27">
        <f t="shared" si="0"/>
        <v>26875</v>
      </c>
      <c r="I71" s="124" t="s">
        <v>544</v>
      </c>
      <c r="J71" s="125"/>
      <c r="K71" s="24" t="s">
        <v>503</v>
      </c>
      <c r="L71" s="28" t="s">
        <v>4</v>
      </c>
      <c r="M71" s="116" t="s">
        <v>486</v>
      </c>
      <c r="N71" s="93"/>
      <c r="O71" s="28" t="s">
        <v>309</v>
      </c>
    </row>
    <row r="72" spans="1:15" ht="11.4" customHeight="1" x14ac:dyDescent="0.3">
      <c r="A72" s="121" t="s">
        <v>280</v>
      </c>
      <c r="B72" s="92"/>
      <c r="C72" s="93"/>
      <c r="D72" s="28" t="s">
        <v>545</v>
      </c>
      <c r="E72" s="25" t="s">
        <v>546</v>
      </c>
      <c r="F72" s="27" t="s">
        <v>547</v>
      </c>
      <c r="G72" s="24" t="s">
        <v>548</v>
      </c>
      <c r="H72" s="27">
        <f t="shared" si="0"/>
        <v>24815</v>
      </c>
      <c r="I72" s="122" t="s">
        <v>549</v>
      </c>
      <c r="J72" s="123"/>
      <c r="K72" s="27" t="s">
        <v>503</v>
      </c>
      <c r="L72" s="25" t="s">
        <v>4</v>
      </c>
      <c r="M72" s="105" t="s">
        <v>486</v>
      </c>
      <c r="N72" s="106"/>
      <c r="O72" s="26" t="s">
        <v>309</v>
      </c>
    </row>
    <row r="73" spans="1:15" ht="11.4" customHeight="1" x14ac:dyDescent="0.3">
      <c r="A73" s="105" t="s">
        <v>280</v>
      </c>
      <c r="B73" s="112"/>
      <c r="C73" s="106"/>
      <c r="D73" s="25" t="s">
        <v>550</v>
      </c>
      <c r="E73" s="28" t="s">
        <v>551</v>
      </c>
      <c r="F73" s="24" t="s">
        <v>552</v>
      </c>
      <c r="G73" s="27" t="s">
        <v>553</v>
      </c>
      <c r="H73" s="27">
        <f t="shared" si="0"/>
        <v>24924</v>
      </c>
      <c r="I73" s="124" t="s">
        <v>554</v>
      </c>
      <c r="J73" s="125"/>
      <c r="K73" s="24" t="s">
        <v>534</v>
      </c>
      <c r="L73" s="28" t="s">
        <v>4</v>
      </c>
      <c r="M73" s="116" t="s">
        <v>486</v>
      </c>
      <c r="N73" s="93"/>
      <c r="O73" s="28" t="s">
        <v>289</v>
      </c>
    </row>
    <row r="74" spans="1:15" ht="11.4" customHeight="1" x14ac:dyDescent="0.3">
      <c r="A74" s="121" t="s">
        <v>280</v>
      </c>
      <c r="B74" s="92"/>
      <c r="C74" s="93"/>
      <c r="D74" s="28" t="s">
        <v>555</v>
      </c>
      <c r="E74" s="25" t="s">
        <v>556</v>
      </c>
      <c r="F74" s="27" t="s">
        <v>557</v>
      </c>
      <c r="G74" s="24" t="s">
        <v>558</v>
      </c>
      <c r="H74" s="27">
        <f t="shared" si="0"/>
        <v>23946</v>
      </c>
      <c r="I74" s="128" t="s">
        <v>559</v>
      </c>
      <c r="J74" s="129"/>
      <c r="K74" s="27" t="s">
        <v>560</v>
      </c>
      <c r="L74" s="25" t="s">
        <v>4</v>
      </c>
      <c r="M74" s="105" t="s">
        <v>486</v>
      </c>
      <c r="N74" s="106"/>
      <c r="O74" s="26" t="s">
        <v>309</v>
      </c>
    </row>
    <row r="75" spans="1:15" ht="11.4" customHeight="1" x14ac:dyDescent="0.3">
      <c r="A75" s="105" t="s">
        <v>280</v>
      </c>
      <c r="B75" s="112"/>
      <c r="C75" s="106"/>
      <c r="D75" s="25" t="s">
        <v>561</v>
      </c>
      <c r="E75" s="28" t="s">
        <v>562</v>
      </c>
      <c r="F75" s="24" t="s">
        <v>563</v>
      </c>
      <c r="G75" s="27" t="s">
        <v>501</v>
      </c>
      <c r="H75" s="27">
        <f t="shared" si="0"/>
        <v>27968</v>
      </c>
      <c r="I75" s="130" t="s">
        <v>564</v>
      </c>
      <c r="J75" s="131"/>
      <c r="K75" s="24" t="s">
        <v>565</v>
      </c>
      <c r="L75" s="28" t="s">
        <v>4</v>
      </c>
      <c r="M75" s="116" t="s">
        <v>486</v>
      </c>
      <c r="N75" s="93"/>
      <c r="O75" s="28" t="s">
        <v>309</v>
      </c>
    </row>
    <row r="76" spans="1:15" ht="11.4" customHeight="1" x14ac:dyDescent="0.3">
      <c r="A76" s="121" t="s">
        <v>280</v>
      </c>
      <c r="B76" s="92"/>
      <c r="C76" s="93"/>
      <c r="D76" s="28" t="s">
        <v>566</v>
      </c>
      <c r="E76" s="25" t="s">
        <v>567</v>
      </c>
      <c r="F76" s="27" t="s">
        <v>568</v>
      </c>
      <c r="G76" s="24" t="s">
        <v>375</v>
      </c>
      <c r="H76" s="27">
        <f t="shared" si="0"/>
        <v>26139</v>
      </c>
      <c r="I76" s="115" t="s">
        <v>569</v>
      </c>
      <c r="J76" s="87"/>
      <c r="K76" s="27" t="s">
        <v>570</v>
      </c>
      <c r="L76" s="25" t="s">
        <v>4</v>
      </c>
      <c r="M76" s="105" t="s">
        <v>486</v>
      </c>
      <c r="N76" s="106"/>
      <c r="O76" s="26" t="s">
        <v>309</v>
      </c>
    </row>
    <row r="77" spans="1:15" ht="11.4" customHeight="1" x14ac:dyDescent="0.3">
      <c r="A77" s="105" t="s">
        <v>280</v>
      </c>
      <c r="B77" s="112"/>
      <c r="C77" s="106"/>
      <c r="D77" s="25" t="s">
        <v>493</v>
      </c>
      <c r="E77" s="28" t="s">
        <v>571</v>
      </c>
      <c r="F77" s="24" t="s">
        <v>474</v>
      </c>
      <c r="G77" s="27" t="s">
        <v>484</v>
      </c>
      <c r="H77" s="27">
        <f t="shared" si="0"/>
        <v>25712</v>
      </c>
      <c r="I77" s="124" t="s">
        <v>572</v>
      </c>
      <c r="J77" s="125"/>
      <c r="K77" s="24" t="s">
        <v>497</v>
      </c>
      <c r="L77" s="28" t="s">
        <v>4</v>
      </c>
      <c r="M77" s="116" t="s">
        <v>486</v>
      </c>
      <c r="N77" s="93"/>
      <c r="O77" s="28" t="s">
        <v>289</v>
      </c>
    </row>
    <row r="78" spans="1:15" ht="11.4" customHeight="1" x14ac:dyDescent="0.3">
      <c r="A78" s="121" t="s">
        <v>280</v>
      </c>
      <c r="B78" s="92"/>
      <c r="C78" s="93"/>
      <c r="D78" s="28" t="s">
        <v>498</v>
      </c>
      <c r="E78" s="25" t="s">
        <v>573</v>
      </c>
      <c r="F78" s="27" t="s">
        <v>574</v>
      </c>
      <c r="G78" s="24" t="s">
        <v>575</v>
      </c>
      <c r="H78" s="27">
        <f t="shared" si="0"/>
        <v>24677</v>
      </c>
      <c r="I78" s="122" t="s">
        <v>465</v>
      </c>
      <c r="J78" s="123"/>
      <c r="K78" s="27" t="s">
        <v>576</v>
      </c>
      <c r="L78" s="25" t="s">
        <v>4</v>
      </c>
      <c r="M78" s="105" t="s">
        <v>486</v>
      </c>
      <c r="N78" s="106"/>
      <c r="O78" s="26" t="s">
        <v>289</v>
      </c>
    </row>
    <row r="79" spans="1:15" ht="11.4" customHeight="1" x14ac:dyDescent="0.3">
      <c r="A79" s="105" t="s">
        <v>280</v>
      </c>
      <c r="B79" s="112"/>
      <c r="C79" s="106"/>
      <c r="D79" s="25" t="s">
        <v>517</v>
      </c>
      <c r="E79" s="28" t="s">
        <v>577</v>
      </c>
      <c r="F79" s="24" t="s">
        <v>578</v>
      </c>
      <c r="G79" s="27" t="s">
        <v>501</v>
      </c>
      <c r="H79" s="27">
        <f t="shared" si="0"/>
        <v>25112</v>
      </c>
      <c r="I79" s="124" t="s">
        <v>579</v>
      </c>
      <c r="J79" s="125"/>
      <c r="K79" s="24" t="s">
        <v>580</v>
      </c>
      <c r="L79" s="28" t="s">
        <v>4</v>
      </c>
      <c r="M79" s="116" t="s">
        <v>486</v>
      </c>
      <c r="N79" s="93"/>
      <c r="O79" s="28" t="s">
        <v>289</v>
      </c>
    </row>
    <row r="80" spans="1:15" ht="11.4" customHeight="1" x14ac:dyDescent="0.3">
      <c r="A80" s="121" t="s">
        <v>280</v>
      </c>
      <c r="B80" s="92"/>
      <c r="C80" s="93"/>
      <c r="D80" s="28" t="s">
        <v>412</v>
      </c>
      <c r="E80" s="25" t="s">
        <v>581</v>
      </c>
      <c r="F80" s="27" t="s">
        <v>582</v>
      </c>
      <c r="G80" s="32" t="s">
        <v>392</v>
      </c>
      <c r="H80" s="33">
        <f t="shared" si="0"/>
        <v>26246</v>
      </c>
      <c r="I80" s="122" t="s">
        <v>583</v>
      </c>
      <c r="J80" s="123"/>
      <c r="K80" s="27" t="s">
        <v>584</v>
      </c>
      <c r="L80" s="25" t="s">
        <v>4</v>
      </c>
      <c r="M80" s="105" t="s">
        <v>486</v>
      </c>
      <c r="N80" s="106"/>
      <c r="O80" s="29" t="s">
        <v>309</v>
      </c>
    </row>
    <row r="81" spans="1:15" ht="11.4" customHeight="1" x14ac:dyDescent="0.3">
      <c r="A81" s="132" t="s">
        <v>280</v>
      </c>
      <c r="B81" s="133"/>
      <c r="C81" s="125"/>
      <c r="D81" s="30" t="s">
        <v>510</v>
      </c>
      <c r="E81" s="31" t="s">
        <v>585</v>
      </c>
      <c r="F81" s="32" t="s">
        <v>586</v>
      </c>
      <c r="G81" s="33" t="s">
        <v>587</v>
      </c>
      <c r="H81" s="27">
        <f t="shared" si="0"/>
        <v>24363</v>
      </c>
      <c r="I81" s="124" t="s">
        <v>588</v>
      </c>
      <c r="J81" s="125"/>
      <c r="K81" s="32" t="s">
        <v>589</v>
      </c>
      <c r="L81" s="31" t="s">
        <v>4</v>
      </c>
      <c r="M81" s="134" t="s">
        <v>486</v>
      </c>
      <c r="N81" s="123"/>
      <c r="O81" s="31" t="s">
        <v>289</v>
      </c>
    </row>
    <row r="82" spans="1:15" ht="11.4" customHeight="1" x14ac:dyDescent="0.3">
      <c r="A82" s="121" t="s">
        <v>280</v>
      </c>
      <c r="B82" s="92"/>
      <c r="C82" s="93"/>
      <c r="D82" s="28" t="s">
        <v>504</v>
      </c>
      <c r="E82" s="25" t="s">
        <v>590</v>
      </c>
      <c r="F82" s="27" t="s">
        <v>591</v>
      </c>
      <c r="G82" s="24" t="s">
        <v>592</v>
      </c>
      <c r="H82" s="33">
        <f t="shared" si="0"/>
        <v>19243</v>
      </c>
      <c r="I82" s="122" t="s">
        <v>593</v>
      </c>
      <c r="J82" s="123"/>
      <c r="K82" s="27" t="s">
        <v>589</v>
      </c>
      <c r="L82" s="25" t="s">
        <v>4</v>
      </c>
      <c r="M82" s="105" t="s">
        <v>486</v>
      </c>
      <c r="N82" s="106"/>
      <c r="O82" s="29" t="s">
        <v>309</v>
      </c>
    </row>
    <row r="83" spans="1:15" ht="11.4" customHeight="1" x14ac:dyDescent="0.3">
      <c r="A83" s="105" t="s">
        <v>280</v>
      </c>
      <c r="B83" s="112"/>
      <c r="C83" s="106"/>
      <c r="D83" s="25" t="s">
        <v>545</v>
      </c>
      <c r="E83" s="28" t="s">
        <v>594</v>
      </c>
      <c r="F83" s="24" t="s">
        <v>595</v>
      </c>
      <c r="G83" s="27" t="s">
        <v>507</v>
      </c>
      <c r="H83" s="33">
        <f t="shared" si="0"/>
        <v>24951</v>
      </c>
      <c r="I83" s="124" t="s">
        <v>596</v>
      </c>
      <c r="J83" s="125"/>
      <c r="K83" s="24" t="s">
        <v>597</v>
      </c>
      <c r="L83" s="28" t="s">
        <v>4</v>
      </c>
      <c r="M83" s="110" t="s">
        <v>486</v>
      </c>
      <c r="N83" s="109"/>
      <c r="O83" s="28" t="s">
        <v>309</v>
      </c>
    </row>
    <row r="84" spans="1:15" ht="11.4" customHeight="1" x14ac:dyDescent="0.3">
      <c r="A84" s="107" t="s">
        <v>280</v>
      </c>
      <c r="B84" s="108"/>
      <c r="C84" s="109"/>
      <c r="D84" s="28" t="s">
        <v>535</v>
      </c>
      <c r="E84" s="34" t="s">
        <v>598</v>
      </c>
      <c r="F84" s="27" t="s">
        <v>599</v>
      </c>
      <c r="G84" s="35" t="s">
        <v>600</v>
      </c>
      <c r="H84" s="33">
        <f t="shared" si="0"/>
        <v>23846</v>
      </c>
      <c r="I84" s="135" t="s">
        <v>601</v>
      </c>
      <c r="J84" s="136"/>
      <c r="K84" s="27" t="s">
        <v>602</v>
      </c>
      <c r="L84" s="36" t="s">
        <v>4</v>
      </c>
      <c r="M84" s="110" t="s">
        <v>486</v>
      </c>
      <c r="N84" s="137"/>
      <c r="O84" s="37" t="s">
        <v>309</v>
      </c>
    </row>
    <row r="85" spans="1:15" ht="11.4" customHeight="1" x14ac:dyDescent="0.3">
      <c r="A85" s="107" t="s">
        <v>280</v>
      </c>
      <c r="B85" s="108"/>
      <c r="C85" s="137"/>
      <c r="D85" s="37" t="s">
        <v>540</v>
      </c>
      <c r="E85" s="37" t="s">
        <v>603</v>
      </c>
      <c r="F85" s="38" t="s">
        <v>604</v>
      </c>
      <c r="G85" s="38" t="s">
        <v>605</v>
      </c>
      <c r="H85" s="33">
        <f t="shared" si="0"/>
        <v>25115</v>
      </c>
      <c r="I85" s="135" t="s">
        <v>606</v>
      </c>
      <c r="J85" s="138"/>
      <c r="K85" s="38" t="s">
        <v>607</v>
      </c>
      <c r="L85" s="37" t="s">
        <v>4</v>
      </c>
      <c r="M85" s="110" t="s">
        <v>486</v>
      </c>
      <c r="N85" s="137"/>
      <c r="O85" s="37" t="s">
        <v>309</v>
      </c>
    </row>
    <row r="86" spans="1:15" ht="11.4" customHeight="1" x14ac:dyDescent="0.3">
      <c r="A86" s="121" t="s">
        <v>280</v>
      </c>
      <c r="B86" s="92"/>
      <c r="C86" s="139"/>
      <c r="D86" s="37" t="s">
        <v>487</v>
      </c>
      <c r="E86" s="37" t="s">
        <v>608</v>
      </c>
      <c r="F86" s="38" t="s">
        <v>609</v>
      </c>
      <c r="G86" s="38" t="s">
        <v>610</v>
      </c>
      <c r="H86" s="27">
        <f t="shared" si="0"/>
        <v>26162</v>
      </c>
      <c r="I86" s="122" t="s">
        <v>611</v>
      </c>
      <c r="J86" s="140"/>
      <c r="K86" s="38" t="s">
        <v>497</v>
      </c>
      <c r="L86" s="37" t="s">
        <v>4</v>
      </c>
      <c r="M86" s="116" t="s">
        <v>486</v>
      </c>
      <c r="N86" s="139"/>
      <c r="O86" s="37" t="s">
        <v>289</v>
      </c>
    </row>
    <row r="87" spans="1:15" ht="2.85" customHeight="1" x14ac:dyDescent="0.3"/>
    <row r="88" spans="1:15" ht="11.4" customHeight="1" x14ac:dyDescent="0.3">
      <c r="A88" s="94" t="s">
        <v>612</v>
      </c>
      <c r="B88" s="81"/>
      <c r="C88" s="81"/>
      <c r="D88" s="81"/>
      <c r="E88" s="81"/>
      <c r="F88" s="81"/>
      <c r="G88" s="81"/>
      <c r="H88" s="12" t="s">
        <v>9</v>
      </c>
      <c r="I88" s="95" t="s">
        <v>613</v>
      </c>
      <c r="J88" s="96"/>
      <c r="K88" s="97" t="s">
        <v>291</v>
      </c>
      <c r="L88" s="81"/>
      <c r="M88" s="81"/>
      <c r="N88" s="97" t="s">
        <v>292</v>
      </c>
      <c r="O88" s="81"/>
    </row>
    <row r="89" spans="1:15" ht="11.4" customHeight="1" x14ac:dyDescent="0.3">
      <c r="F89" s="97" t="s">
        <v>293</v>
      </c>
      <c r="G89" s="81"/>
      <c r="H89" s="13" t="s">
        <v>9</v>
      </c>
      <c r="I89" s="98" t="s">
        <v>614</v>
      </c>
      <c r="J89" s="99"/>
      <c r="K89" s="100" t="s">
        <v>295</v>
      </c>
      <c r="L89" s="81"/>
      <c r="M89" s="81"/>
      <c r="N89" s="100" t="s">
        <v>295</v>
      </c>
      <c r="O89" s="81"/>
    </row>
    <row r="90" spans="1:15" ht="408.9" customHeight="1" x14ac:dyDescent="0.3"/>
    <row r="91" spans="1:15" ht="105.6" customHeight="1" x14ac:dyDescent="0.3"/>
    <row r="92" spans="1:15" ht="14.25" customHeight="1" x14ac:dyDescent="0.3">
      <c r="A92" s="126" t="s">
        <v>515</v>
      </c>
      <c r="B92" s="81"/>
      <c r="C92" s="81"/>
      <c r="D92" s="81"/>
      <c r="E92" s="81"/>
      <c r="F92" s="81"/>
      <c r="G92" s="81"/>
      <c r="H92" s="81"/>
      <c r="I92" s="81"/>
      <c r="J92" s="127" t="s">
        <v>615</v>
      </c>
      <c r="K92" s="81"/>
      <c r="L92" s="81"/>
      <c r="M92" s="81"/>
      <c r="N92" s="81"/>
      <c r="O92" s="81"/>
    </row>
    <row r="93" spans="1:15" ht="11.4" customHeight="1" x14ac:dyDescent="0.3"/>
  </sheetData>
  <mergeCells count="235">
    <mergeCell ref="F89:G89"/>
    <mergeCell ref="I89:J89"/>
    <mergeCell ref="K89:M89"/>
    <mergeCell ref="N89:O89"/>
    <mergeCell ref="A92:I92"/>
    <mergeCell ref="J92:O92"/>
    <mergeCell ref="A86:C86"/>
    <mergeCell ref="I86:J86"/>
    <mergeCell ref="M86:N86"/>
    <mergeCell ref="A88:G88"/>
    <mergeCell ref="I88:J88"/>
    <mergeCell ref="K88:M88"/>
    <mergeCell ref="N88:O88"/>
    <mergeCell ref="A84:C84"/>
    <mergeCell ref="I84:J84"/>
    <mergeCell ref="M84:N84"/>
    <mergeCell ref="A85:C85"/>
    <mergeCell ref="I85:J85"/>
    <mergeCell ref="M85:N85"/>
    <mergeCell ref="A82:C82"/>
    <mergeCell ref="I82:J82"/>
    <mergeCell ref="M82:N82"/>
    <mergeCell ref="A83:C83"/>
    <mergeCell ref="I83:J83"/>
    <mergeCell ref="M83:N83"/>
    <mergeCell ref="A80:C80"/>
    <mergeCell ref="I80:J80"/>
    <mergeCell ref="M80:N80"/>
    <mergeCell ref="A81:C81"/>
    <mergeCell ref="I81:J81"/>
    <mergeCell ref="M81:N81"/>
    <mergeCell ref="A78:C78"/>
    <mergeCell ref="I78:J78"/>
    <mergeCell ref="M78:N78"/>
    <mergeCell ref="A79:C79"/>
    <mergeCell ref="I79:J79"/>
    <mergeCell ref="M79:N79"/>
    <mergeCell ref="A76:C76"/>
    <mergeCell ref="I76:J76"/>
    <mergeCell ref="M76:N76"/>
    <mergeCell ref="A77:C77"/>
    <mergeCell ref="I77:J77"/>
    <mergeCell ref="M77:N77"/>
    <mergeCell ref="A74:C74"/>
    <mergeCell ref="I74:J74"/>
    <mergeCell ref="M74:N74"/>
    <mergeCell ref="A75:C75"/>
    <mergeCell ref="I75:J75"/>
    <mergeCell ref="M75:N75"/>
    <mergeCell ref="A72:C72"/>
    <mergeCell ref="I72:J72"/>
    <mergeCell ref="M72:N72"/>
    <mergeCell ref="A73:C73"/>
    <mergeCell ref="I73:J73"/>
    <mergeCell ref="M73:N73"/>
    <mergeCell ref="A70:C70"/>
    <mergeCell ref="I70:J70"/>
    <mergeCell ref="M70:N70"/>
    <mergeCell ref="A71:C71"/>
    <mergeCell ref="I71:J71"/>
    <mergeCell ref="M71:N71"/>
    <mergeCell ref="A68:C68"/>
    <mergeCell ref="I68:J68"/>
    <mergeCell ref="M68:N68"/>
    <mergeCell ref="A69:C69"/>
    <mergeCell ref="I69:J69"/>
    <mergeCell ref="M69:N69"/>
    <mergeCell ref="A64:I64"/>
    <mergeCell ref="J64:O64"/>
    <mergeCell ref="A66:C66"/>
    <mergeCell ref="I66:J66"/>
    <mergeCell ref="M66:N66"/>
    <mergeCell ref="A67:C67"/>
    <mergeCell ref="I67:J67"/>
    <mergeCell ref="M67:N67"/>
    <mergeCell ref="A61:C61"/>
    <mergeCell ref="I61:J61"/>
    <mergeCell ref="M61:N61"/>
    <mergeCell ref="A62:C62"/>
    <mergeCell ref="I62:J62"/>
    <mergeCell ref="M62:N62"/>
    <mergeCell ref="A59:C59"/>
    <mergeCell ref="I59:J59"/>
    <mergeCell ref="M59:N59"/>
    <mergeCell ref="A60:C60"/>
    <mergeCell ref="I60:J60"/>
    <mergeCell ref="M60:N60"/>
    <mergeCell ref="A57:C57"/>
    <mergeCell ref="I57:J57"/>
    <mergeCell ref="M57:N57"/>
    <mergeCell ref="A58:C58"/>
    <mergeCell ref="I58:J58"/>
    <mergeCell ref="M58:N58"/>
    <mergeCell ref="F54:G54"/>
    <mergeCell ref="I54:J54"/>
    <mergeCell ref="K54:M54"/>
    <mergeCell ref="N54:O54"/>
    <mergeCell ref="A56:C56"/>
    <mergeCell ref="I56:J56"/>
    <mergeCell ref="M56:N56"/>
    <mergeCell ref="A51:C51"/>
    <mergeCell ref="I51:J51"/>
    <mergeCell ref="M51:N51"/>
    <mergeCell ref="A53:G53"/>
    <mergeCell ref="I53:J53"/>
    <mergeCell ref="K53:M53"/>
    <mergeCell ref="N53:O53"/>
    <mergeCell ref="A49:C49"/>
    <mergeCell ref="I49:J49"/>
    <mergeCell ref="M49:N49"/>
    <mergeCell ref="A50:C50"/>
    <mergeCell ref="I50:J50"/>
    <mergeCell ref="M50:N50"/>
    <mergeCell ref="A47:C47"/>
    <mergeCell ref="I47:J47"/>
    <mergeCell ref="M47:N47"/>
    <mergeCell ref="A48:C48"/>
    <mergeCell ref="I48:J48"/>
    <mergeCell ref="M48:N48"/>
    <mergeCell ref="A45:C45"/>
    <mergeCell ref="I45:J45"/>
    <mergeCell ref="M45:N45"/>
    <mergeCell ref="A46:C46"/>
    <mergeCell ref="I46:J46"/>
    <mergeCell ref="M46:N46"/>
    <mergeCell ref="A43:C43"/>
    <mergeCell ref="I43:J43"/>
    <mergeCell ref="M43:N43"/>
    <mergeCell ref="A44:C44"/>
    <mergeCell ref="I44:J44"/>
    <mergeCell ref="M44:N44"/>
    <mergeCell ref="A41:C41"/>
    <mergeCell ref="I41:J41"/>
    <mergeCell ref="M41:N41"/>
    <mergeCell ref="A42:C42"/>
    <mergeCell ref="I42:J42"/>
    <mergeCell ref="M42:N42"/>
    <mergeCell ref="A39:C39"/>
    <mergeCell ref="I39:J39"/>
    <mergeCell ref="M39:N39"/>
    <mergeCell ref="A40:C40"/>
    <mergeCell ref="I40:J40"/>
    <mergeCell ref="M40:N40"/>
    <mergeCell ref="A37:C37"/>
    <mergeCell ref="I37:J37"/>
    <mergeCell ref="M37:N37"/>
    <mergeCell ref="A38:C38"/>
    <mergeCell ref="I38:J38"/>
    <mergeCell ref="M38:N38"/>
    <mergeCell ref="A35:C35"/>
    <mergeCell ref="I35:J35"/>
    <mergeCell ref="M35:N35"/>
    <mergeCell ref="A36:C36"/>
    <mergeCell ref="I36:J36"/>
    <mergeCell ref="M36:N36"/>
    <mergeCell ref="A33:C33"/>
    <mergeCell ref="I33:J33"/>
    <mergeCell ref="M33:N33"/>
    <mergeCell ref="A34:C34"/>
    <mergeCell ref="I34:J34"/>
    <mergeCell ref="M34:N34"/>
    <mergeCell ref="A31:C31"/>
    <mergeCell ref="I31:J31"/>
    <mergeCell ref="M31:N31"/>
    <mergeCell ref="A32:C32"/>
    <mergeCell ref="I32:J32"/>
    <mergeCell ref="M32:N32"/>
    <mergeCell ref="A28:G28"/>
    <mergeCell ref="I28:J28"/>
    <mergeCell ref="K28:M28"/>
    <mergeCell ref="N28:O28"/>
    <mergeCell ref="F29:G29"/>
    <mergeCell ref="I29:J29"/>
    <mergeCell ref="K29:M29"/>
    <mergeCell ref="N29:O29"/>
    <mergeCell ref="A25:C25"/>
    <mergeCell ref="I25:J25"/>
    <mergeCell ref="M25:N25"/>
    <mergeCell ref="A26:C26"/>
    <mergeCell ref="I26:J26"/>
    <mergeCell ref="M26:N26"/>
    <mergeCell ref="A23:C23"/>
    <mergeCell ref="I23:J23"/>
    <mergeCell ref="M23:N23"/>
    <mergeCell ref="A24:C24"/>
    <mergeCell ref="I24:J24"/>
    <mergeCell ref="M24:N24"/>
    <mergeCell ref="A20:G20"/>
    <mergeCell ref="I20:J20"/>
    <mergeCell ref="K20:M20"/>
    <mergeCell ref="N20:O20"/>
    <mergeCell ref="F21:G21"/>
    <mergeCell ref="I21:J21"/>
    <mergeCell ref="K21:M21"/>
    <mergeCell ref="N21:O21"/>
    <mergeCell ref="A17:C17"/>
    <mergeCell ref="I17:J17"/>
    <mergeCell ref="M17:N17"/>
    <mergeCell ref="A18:C18"/>
    <mergeCell ref="I18:J18"/>
    <mergeCell ref="M18:N18"/>
    <mergeCell ref="A15:C15"/>
    <mergeCell ref="I15:J15"/>
    <mergeCell ref="M15:N15"/>
    <mergeCell ref="A16:C16"/>
    <mergeCell ref="I16:J16"/>
    <mergeCell ref="M16:N16"/>
    <mergeCell ref="A13:C13"/>
    <mergeCell ref="I13:J13"/>
    <mergeCell ref="M13:N13"/>
    <mergeCell ref="A14:C14"/>
    <mergeCell ref="I14:J14"/>
    <mergeCell ref="M14:N14"/>
    <mergeCell ref="A12:C12"/>
    <mergeCell ref="I12:J12"/>
    <mergeCell ref="M12:N12"/>
    <mergeCell ref="A8:G8"/>
    <mergeCell ref="I8:J8"/>
    <mergeCell ref="K8:M8"/>
    <mergeCell ref="N8:O8"/>
    <mergeCell ref="F9:G9"/>
    <mergeCell ref="I9:J9"/>
    <mergeCell ref="K9:M9"/>
    <mergeCell ref="N9:O9"/>
    <mergeCell ref="A1:O1"/>
    <mergeCell ref="C3:O3"/>
    <mergeCell ref="A5:C5"/>
    <mergeCell ref="I5:J5"/>
    <mergeCell ref="M5:N5"/>
    <mergeCell ref="A6:C6"/>
    <mergeCell ref="I6:J6"/>
    <mergeCell ref="M6:N6"/>
    <mergeCell ref="A11:C11"/>
    <mergeCell ref="I11:J11"/>
    <mergeCell ref="M11:N11"/>
  </mergeCells>
  <pageMargins left="0.3611111111111111" right="0.3611111111111111" top="0.3611111111111111" bottom="0.3611111111111111" header="0.3" footer="0.3"/>
  <pageSetup orientation="portrait" r:id="rId1"/>
  <rowBreaks count="2" manualBreakCount="2">
    <brk id="65" max="16383" man="1"/>
    <brk id="9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opLeftCell="A43" workbookViewId="0">
      <selection activeCell="I45" sqref="I45:J45"/>
    </sheetView>
  </sheetViews>
  <sheetFormatPr defaultColWidth="9.109375" defaultRowHeight="14.4" x14ac:dyDescent="0.3"/>
  <cols>
    <col min="1" max="1" width="11.109375" style="3" customWidth="1"/>
    <col min="2" max="3" width="0.88671875" style="3" customWidth="1"/>
    <col min="4" max="4" width="12.5546875" style="3" customWidth="1"/>
    <col min="5" max="5" width="10.109375" style="3" customWidth="1"/>
    <col min="6" max="8" width="7.88671875" style="3" customWidth="1"/>
    <col min="9" max="9" width="4.44140625" style="3" customWidth="1"/>
    <col min="10" max="10" width="4" style="3" customWidth="1"/>
    <col min="11" max="12" width="7.33203125" style="3" customWidth="1"/>
    <col min="13" max="13" width="1.5546875" style="3" customWidth="1"/>
    <col min="14" max="14" width="7.88671875" style="3" customWidth="1"/>
    <col min="15" max="15" width="8.33203125" style="3" customWidth="1"/>
    <col min="16" max="16384" width="9.109375" style="3"/>
  </cols>
  <sheetData>
    <row r="1" spans="1:15" ht="14.25" customHeight="1" x14ac:dyDescent="0.3">
      <c r="A1" s="80" t="s">
        <v>266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ht="5.85" customHeight="1" x14ac:dyDescent="0.3"/>
    <row r="3" spans="1:15" ht="63.15" customHeight="1" x14ac:dyDescent="0.3">
      <c r="A3" s="4" t="s">
        <v>267</v>
      </c>
      <c r="C3" s="82" t="s">
        <v>787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</row>
    <row r="4" spans="1:15" ht="17.25" customHeight="1" x14ac:dyDescent="0.3"/>
    <row r="5" spans="1:15" ht="11.4" customHeight="1" x14ac:dyDescent="0.3">
      <c r="A5" s="91" t="s">
        <v>269</v>
      </c>
      <c r="B5" s="92"/>
      <c r="C5" s="139"/>
      <c r="D5" s="47" t="s">
        <v>270</v>
      </c>
      <c r="E5" s="46" t="s">
        <v>271</v>
      </c>
      <c r="F5" s="5" t="s">
        <v>272</v>
      </c>
      <c r="G5" s="6" t="s">
        <v>273</v>
      </c>
      <c r="H5" s="5" t="s">
        <v>274</v>
      </c>
      <c r="I5" s="120" t="s">
        <v>275</v>
      </c>
      <c r="J5" s="93"/>
      <c r="K5" s="5" t="s">
        <v>276</v>
      </c>
      <c r="L5" s="6" t="s">
        <v>277</v>
      </c>
      <c r="M5" s="83" t="s">
        <v>278</v>
      </c>
      <c r="N5" s="85"/>
      <c r="O5" s="7" t="s">
        <v>279</v>
      </c>
    </row>
    <row r="6" spans="1:15" ht="11.4" customHeight="1" x14ac:dyDescent="0.3">
      <c r="A6" s="88" t="s">
        <v>623</v>
      </c>
      <c r="B6" s="84"/>
      <c r="C6" s="85"/>
      <c r="D6" s="14" t="s">
        <v>786</v>
      </c>
      <c r="E6" s="9" t="s">
        <v>785</v>
      </c>
      <c r="F6" s="15" t="s">
        <v>784</v>
      </c>
      <c r="G6" s="11" t="s">
        <v>783</v>
      </c>
      <c r="H6" s="15" t="s">
        <v>491</v>
      </c>
      <c r="I6" s="141" t="s">
        <v>7</v>
      </c>
      <c r="J6" s="85"/>
      <c r="K6" s="15" t="s">
        <v>782</v>
      </c>
      <c r="L6" s="9" t="s">
        <v>287</v>
      </c>
      <c r="M6" s="88" t="s">
        <v>302</v>
      </c>
      <c r="N6" s="85"/>
      <c r="O6" s="9" t="s">
        <v>289</v>
      </c>
    </row>
    <row r="7" spans="1:15" ht="11.4" customHeight="1" x14ac:dyDescent="0.3">
      <c r="A7" s="101" t="s">
        <v>623</v>
      </c>
      <c r="B7" s="84"/>
      <c r="C7" s="85"/>
      <c r="D7" s="9" t="s">
        <v>555</v>
      </c>
      <c r="E7" s="14" t="s">
        <v>781</v>
      </c>
      <c r="F7" s="11" t="s">
        <v>344</v>
      </c>
      <c r="G7" s="15" t="s">
        <v>553</v>
      </c>
      <c r="H7" s="11" t="s">
        <v>780</v>
      </c>
      <c r="I7" s="141" t="s">
        <v>7</v>
      </c>
      <c r="J7" s="85"/>
      <c r="K7" s="11" t="s">
        <v>779</v>
      </c>
      <c r="L7" s="14" t="s">
        <v>287</v>
      </c>
      <c r="M7" s="88" t="s">
        <v>302</v>
      </c>
      <c r="N7" s="85"/>
      <c r="O7" s="16" t="s">
        <v>309</v>
      </c>
    </row>
    <row r="8" spans="1:15" ht="11.4" customHeight="1" x14ac:dyDescent="0.3">
      <c r="A8" s="88" t="s">
        <v>623</v>
      </c>
      <c r="B8" s="84"/>
      <c r="C8" s="85"/>
      <c r="D8" s="14" t="s">
        <v>778</v>
      </c>
      <c r="E8" s="9" t="s">
        <v>777</v>
      </c>
      <c r="F8" s="15" t="s">
        <v>776</v>
      </c>
      <c r="G8" s="11" t="s">
        <v>775</v>
      </c>
      <c r="H8" s="15" t="s">
        <v>774</v>
      </c>
      <c r="I8" s="141" t="s">
        <v>7</v>
      </c>
      <c r="J8" s="85"/>
      <c r="K8" s="15" t="s">
        <v>773</v>
      </c>
      <c r="L8" s="9" t="s">
        <v>287</v>
      </c>
      <c r="M8" s="88" t="s">
        <v>302</v>
      </c>
      <c r="N8" s="85"/>
      <c r="O8" s="9" t="s">
        <v>309</v>
      </c>
    </row>
    <row r="9" spans="1:15" ht="11.4" customHeight="1" x14ac:dyDescent="0.3">
      <c r="A9" s="101" t="s">
        <v>623</v>
      </c>
      <c r="B9" s="84"/>
      <c r="C9" s="85"/>
      <c r="D9" s="9" t="s">
        <v>772</v>
      </c>
      <c r="E9" s="14" t="s">
        <v>771</v>
      </c>
      <c r="F9" s="11" t="s">
        <v>770</v>
      </c>
      <c r="G9" s="15" t="s">
        <v>769</v>
      </c>
      <c r="H9" s="11" t="s">
        <v>768</v>
      </c>
      <c r="I9" s="141" t="s">
        <v>7</v>
      </c>
      <c r="J9" s="85"/>
      <c r="K9" s="11" t="s">
        <v>716</v>
      </c>
      <c r="L9" s="14" t="s">
        <v>287</v>
      </c>
      <c r="M9" s="88" t="s">
        <v>302</v>
      </c>
      <c r="N9" s="85"/>
      <c r="O9" s="16" t="s">
        <v>309</v>
      </c>
    </row>
    <row r="10" spans="1:15" ht="11.4" customHeight="1" x14ac:dyDescent="0.3">
      <c r="A10" s="88" t="s">
        <v>623</v>
      </c>
      <c r="B10" s="84"/>
      <c r="C10" s="85"/>
      <c r="D10" s="8" t="s">
        <v>561</v>
      </c>
      <c r="E10" s="9" t="s">
        <v>767</v>
      </c>
      <c r="F10" s="10" t="s">
        <v>437</v>
      </c>
      <c r="G10" s="11" t="s">
        <v>575</v>
      </c>
      <c r="H10" s="10" t="s">
        <v>766</v>
      </c>
      <c r="I10" s="141" t="s">
        <v>7</v>
      </c>
      <c r="J10" s="85"/>
      <c r="K10" s="10" t="s">
        <v>765</v>
      </c>
      <c r="L10" s="9" t="s">
        <v>287</v>
      </c>
      <c r="M10" s="88" t="s">
        <v>302</v>
      </c>
      <c r="N10" s="85"/>
      <c r="O10" s="9" t="s">
        <v>309</v>
      </c>
    </row>
    <row r="11" spans="1:15" ht="2.85" customHeight="1" x14ac:dyDescent="0.3"/>
    <row r="12" spans="1:15" ht="11.4" customHeight="1" x14ac:dyDescent="0.3">
      <c r="A12" s="94" t="s">
        <v>339</v>
      </c>
      <c r="B12" s="81"/>
      <c r="C12" s="81"/>
      <c r="D12" s="81"/>
      <c r="E12" s="81"/>
      <c r="F12" s="81"/>
      <c r="G12" s="81"/>
      <c r="H12" s="12" t="s">
        <v>764</v>
      </c>
      <c r="I12" s="142" t="s">
        <v>9</v>
      </c>
      <c r="J12" s="143"/>
      <c r="K12" s="97" t="s">
        <v>291</v>
      </c>
      <c r="L12" s="81"/>
      <c r="M12" s="81"/>
      <c r="N12" s="97" t="s">
        <v>292</v>
      </c>
      <c r="O12" s="81"/>
    </row>
    <row r="13" spans="1:15" ht="11.4" customHeight="1" x14ac:dyDescent="0.3">
      <c r="F13" s="97" t="s">
        <v>293</v>
      </c>
      <c r="G13" s="81"/>
      <c r="H13" s="13" t="s">
        <v>763</v>
      </c>
      <c r="I13" s="144" t="s">
        <v>9</v>
      </c>
      <c r="J13" s="145"/>
      <c r="K13" s="100" t="s">
        <v>295</v>
      </c>
      <c r="L13" s="81"/>
      <c r="M13" s="81"/>
      <c r="N13" s="100" t="s">
        <v>295</v>
      </c>
      <c r="O13" s="81"/>
    </row>
    <row r="14" spans="1:15" ht="20.100000000000001" customHeight="1" x14ac:dyDescent="0.3"/>
    <row r="15" spans="1:15" ht="11.4" customHeight="1" x14ac:dyDescent="0.3">
      <c r="A15" s="91" t="s">
        <v>269</v>
      </c>
      <c r="B15" s="92"/>
      <c r="C15" s="93"/>
      <c r="D15" s="5" t="s">
        <v>270</v>
      </c>
      <c r="E15" s="6" t="s">
        <v>271</v>
      </c>
      <c r="F15" s="5" t="s">
        <v>272</v>
      </c>
      <c r="G15" s="6" t="s">
        <v>273</v>
      </c>
      <c r="H15" s="5" t="s">
        <v>274</v>
      </c>
      <c r="I15" s="120" t="s">
        <v>275</v>
      </c>
      <c r="J15" s="93"/>
      <c r="K15" s="5" t="s">
        <v>276</v>
      </c>
      <c r="L15" s="6" t="s">
        <v>277</v>
      </c>
      <c r="M15" s="83" t="s">
        <v>278</v>
      </c>
      <c r="N15" s="85"/>
      <c r="O15" s="7" t="s">
        <v>279</v>
      </c>
    </row>
    <row r="16" spans="1:15" ht="11.4" customHeight="1" x14ac:dyDescent="0.3">
      <c r="A16" s="88" t="s">
        <v>623</v>
      </c>
      <c r="B16" s="84"/>
      <c r="C16" s="85"/>
      <c r="D16" s="14" t="s">
        <v>762</v>
      </c>
      <c r="E16" s="9" t="s">
        <v>7</v>
      </c>
      <c r="F16" s="15" t="s">
        <v>679</v>
      </c>
      <c r="G16" s="11" t="s">
        <v>761</v>
      </c>
      <c r="H16" s="15" t="s">
        <v>760</v>
      </c>
      <c r="I16" s="141" t="s">
        <v>7</v>
      </c>
      <c r="J16" s="85"/>
      <c r="K16" s="15" t="s">
        <v>301</v>
      </c>
      <c r="L16" s="9" t="s">
        <v>287</v>
      </c>
      <c r="M16" s="88" t="s">
        <v>348</v>
      </c>
      <c r="N16" s="85"/>
      <c r="O16" s="9" t="s">
        <v>709</v>
      </c>
    </row>
    <row r="17" spans="1:15" ht="11.4" customHeight="1" x14ac:dyDescent="0.3">
      <c r="A17" s="111" t="s">
        <v>623</v>
      </c>
      <c r="B17" s="112"/>
      <c r="C17" s="106"/>
      <c r="D17" s="9" t="s">
        <v>759</v>
      </c>
      <c r="E17" s="8" t="s">
        <v>7</v>
      </c>
      <c r="F17" s="11" t="s">
        <v>758</v>
      </c>
      <c r="G17" s="10" t="s">
        <v>757</v>
      </c>
      <c r="H17" s="11" t="s">
        <v>756</v>
      </c>
      <c r="I17" s="147" t="s">
        <v>7</v>
      </c>
      <c r="J17" s="106"/>
      <c r="K17" s="11" t="s">
        <v>745</v>
      </c>
      <c r="L17" s="8" t="s">
        <v>287</v>
      </c>
      <c r="M17" s="88" t="s">
        <v>348</v>
      </c>
      <c r="N17" s="85"/>
      <c r="O17" s="9" t="s">
        <v>709</v>
      </c>
    </row>
    <row r="18" spans="1:15" ht="2.85" customHeight="1" x14ac:dyDescent="0.3"/>
    <row r="19" spans="1:15" ht="11.4" customHeight="1" x14ac:dyDescent="0.3">
      <c r="A19" s="94" t="s">
        <v>361</v>
      </c>
      <c r="B19" s="81"/>
      <c r="C19" s="81"/>
      <c r="D19" s="81"/>
      <c r="E19" s="81"/>
      <c r="F19" s="81"/>
      <c r="G19" s="81"/>
      <c r="H19" s="12" t="s">
        <v>755</v>
      </c>
      <c r="I19" s="142" t="s">
        <v>9</v>
      </c>
      <c r="J19" s="143"/>
      <c r="K19" s="97" t="s">
        <v>291</v>
      </c>
      <c r="L19" s="81"/>
      <c r="M19" s="81"/>
      <c r="N19" s="97" t="s">
        <v>292</v>
      </c>
      <c r="O19" s="81"/>
    </row>
    <row r="20" spans="1:15" ht="11.4" customHeight="1" x14ac:dyDescent="0.3">
      <c r="F20" s="97" t="s">
        <v>293</v>
      </c>
      <c r="G20" s="81"/>
      <c r="H20" s="13" t="s">
        <v>754</v>
      </c>
      <c r="I20" s="144" t="s">
        <v>9</v>
      </c>
      <c r="J20" s="145"/>
      <c r="K20" s="100" t="s">
        <v>295</v>
      </c>
      <c r="L20" s="81"/>
      <c r="M20" s="81"/>
      <c r="N20" s="100" t="s">
        <v>295</v>
      </c>
      <c r="O20" s="81"/>
    </row>
    <row r="21" spans="1:15" ht="20.100000000000001" customHeight="1" x14ac:dyDescent="0.3"/>
    <row r="22" spans="1:15" ht="11.4" customHeight="1" x14ac:dyDescent="0.3">
      <c r="A22" s="83" t="s">
        <v>269</v>
      </c>
      <c r="B22" s="84"/>
      <c r="C22" s="85"/>
      <c r="D22" s="17" t="s">
        <v>270</v>
      </c>
      <c r="E22" s="5" t="s">
        <v>271</v>
      </c>
      <c r="F22" s="17" t="s">
        <v>272</v>
      </c>
      <c r="G22" s="5" t="s">
        <v>273</v>
      </c>
      <c r="H22" s="17" t="s">
        <v>274</v>
      </c>
      <c r="I22" s="83" t="s">
        <v>275</v>
      </c>
      <c r="J22" s="85"/>
      <c r="K22" s="17" t="s">
        <v>276</v>
      </c>
      <c r="L22" s="5" t="s">
        <v>277</v>
      </c>
      <c r="M22" s="146" t="s">
        <v>278</v>
      </c>
      <c r="N22" s="109"/>
      <c r="O22" s="5" t="s">
        <v>279</v>
      </c>
    </row>
    <row r="23" spans="1:15" ht="11.4" customHeight="1" x14ac:dyDescent="0.3">
      <c r="A23" s="111" t="s">
        <v>623</v>
      </c>
      <c r="B23" s="112"/>
      <c r="C23" s="106"/>
      <c r="D23" s="19" t="s">
        <v>753</v>
      </c>
      <c r="E23" s="8" t="s">
        <v>7</v>
      </c>
      <c r="F23" s="20" t="s">
        <v>720</v>
      </c>
      <c r="G23" s="10" t="s">
        <v>447</v>
      </c>
      <c r="H23" s="20" t="s">
        <v>752</v>
      </c>
      <c r="I23" s="147" t="s">
        <v>7</v>
      </c>
      <c r="J23" s="106"/>
      <c r="K23" s="20" t="s">
        <v>406</v>
      </c>
      <c r="L23" s="8" t="s">
        <v>287</v>
      </c>
      <c r="M23" s="110" t="s">
        <v>371</v>
      </c>
      <c r="N23" s="109"/>
      <c r="O23" s="45" t="s">
        <v>709</v>
      </c>
    </row>
    <row r="24" spans="1:15" ht="11.4" customHeight="1" x14ac:dyDescent="0.3">
      <c r="A24" s="110" t="s">
        <v>623</v>
      </c>
      <c r="B24" s="108"/>
      <c r="C24" s="109"/>
      <c r="D24" s="21" t="s">
        <v>751</v>
      </c>
      <c r="E24" s="19" t="s">
        <v>7</v>
      </c>
      <c r="F24" s="22" t="s">
        <v>750</v>
      </c>
      <c r="G24" s="20" t="s">
        <v>749</v>
      </c>
      <c r="H24" s="22" t="s">
        <v>748</v>
      </c>
      <c r="I24" s="148" t="s">
        <v>7</v>
      </c>
      <c r="J24" s="109"/>
      <c r="K24" s="22" t="s">
        <v>747</v>
      </c>
      <c r="L24" s="19" t="s">
        <v>287</v>
      </c>
      <c r="M24" s="110" t="s">
        <v>371</v>
      </c>
      <c r="N24" s="109"/>
      <c r="O24" s="19" t="s">
        <v>709</v>
      </c>
    </row>
    <row r="25" spans="1:15" ht="11.4" customHeight="1" x14ac:dyDescent="0.3">
      <c r="A25" s="107" t="s">
        <v>623</v>
      </c>
      <c r="B25" s="108"/>
      <c r="C25" s="109"/>
      <c r="D25" s="19" t="s">
        <v>372</v>
      </c>
      <c r="E25" s="21" t="s">
        <v>746</v>
      </c>
      <c r="F25" s="20" t="s">
        <v>317</v>
      </c>
      <c r="G25" s="22" t="s">
        <v>558</v>
      </c>
      <c r="H25" s="20" t="s">
        <v>376</v>
      </c>
      <c r="I25" s="148" t="s">
        <v>7</v>
      </c>
      <c r="J25" s="109"/>
      <c r="K25" s="20" t="s">
        <v>745</v>
      </c>
      <c r="L25" s="21" t="s">
        <v>370</v>
      </c>
      <c r="M25" s="110" t="s">
        <v>371</v>
      </c>
      <c r="N25" s="109"/>
      <c r="O25" s="23" t="s">
        <v>289</v>
      </c>
    </row>
    <row r="26" spans="1:15" ht="11.4" customHeight="1" x14ac:dyDescent="0.3">
      <c r="A26" s="110" t="s">
        <v>623</v>
      </c>
      <c r="B26" s="108"/>
      <c r="C26" s="109"/>
      <c r="D26" s="21" t="s">
        <v>744</v>
      </c>
      <c r="E26" s="19" t="s">
        <v>743</v>
      </c>
      <c r="F26" s="22" t="s">
        <v>742</v>
      </c>
      <c r="G26" s="20" t="s">
        <v>741</v>
      </c>
      <c r="H26" s="22" t="s">
        <v>740</v>
      </c>
      <c r="I26" s="148" t="s">
        <v>7</v>
      </c>
      <c r="J26" s="109"/>
      <c r="K26" s="22" t="s">
        <v>739</v>
      </c>
      <c r="L26" s="19" t="s">
        <v>287</v>
      </c>
      <c r="M26" s="110" t="s">
        <v>371</v>
      </c>
      <c r="N26" s="109"/>
      <c r="O26" s="19" t="s">
        <v>289</v>
      </c>
    </row>
    <row r="27" spans="1:15" ht="11.4" customHeight="1" x14ac:dyDescent="0.3">
      <c r="A27" s="107" t="s">
        <v>623</v>
      </c>
      <c r="B27" s="108"/>
      <c r="C27" s="109"/>
      <c r="D27" s="19" t="s">
        <v>407</v>
      </c>
      <c r="E27" s="21" t="s">
        <v>738</v>
      </c>
      <c r="F27" s="20" t="s">
        <v>737</v>
      </c>
      <c r="G27" s="22" t="s">
        <v>484</v>
      </c>
      <c r="H27" s="20" t="s">
        <v>736</v>
      </c>
      <c r="I27" s="148" t="s">
        <v>7</v>
      </c>
      <c r="J27" s="109"/>
      <c r="K27" s="20" t="s">
        <v>735</v>
      </c>
      <c r="L27" s="21" t="s">
        <v>370</v>
      </c>
      <c r="M27" s="110" t="s">
        <v>371</v>
      </c>
      <c r="N27" s="109"/>
      <c r="O27" s="23" t="s">
        <v>309</v>
      </c>
    </row>
    <row r="28" spans="1:15" ht="11.4" customHeight="1" x14ac:dyDescent="0.3">
      <c r="A28" s="110" t="s">
        <v>623</v>
      </c>
      <c r="B28" s="108"/>
      <c r="C28" s="109"/>
      <c r="D28" s="21" t="s">
        <v>383</v>
      </c>
      <c r="E28" s="19" t="s">
        <v>734</v>
      </c>
      <c r="F28" s="22" t="s">
        <v>733</v>
      </c>
      <c r="G28" s="20" t="s">
        <v>732</v>
      </c>
      <c r="H28" s="22" t="s">
        <v>731</v>
      </c>
      <c r="I28" s="148" t="s">
        <v>7</v>
      </c>
      <c r="J28" s="109"/>
      <c r="K28" s="22" t="s">
        <v>649</v>
      </c>
      <c r="L28" s="19" t="s">
        <v>370</v>
      </c>
      <c r="M28" s="110" t="s">
        <v>371</v>
      </c>
      <c r="N28" s="109"/>
      <c r="O28" s="19" t="s">
        <v>289</v>
      </c>
    </row>
    <row r="29" spans="1:15" ht="11.4" customHeight="1" x14ac:dyDescent="0.3">
      <c r="A29" s="107" t="s">
        <v>623</v>
      </c>
      <c r="B29" s="108"/>
      <c r="C29" s="109"/>
      <c r="D29" s="19" t="s">
        <v>654</v>
      </c>
      <c r="E29" s="21" t="s">
        <v>730</v>
      </c>
      <c r="F29" s="20" t="s">
        <v>729</v>
      </c>
      <c r="G29" s="22" t="s">
        <v>651</v>
      </c>
      <c r="H29" s="20" t="s">
        <v>728</v>
      </c>
      <c r="I29" s="148" t="s">
        <v>7</v>
      </c>
      <c r="J29" s="109"/>
      <c r="K29" s="20" t="s">
        <v>663</v>
      </c>
      <c r="L29" s="21" t="s">
        <v>370</v>
      </c>
      <c r="M29" s="110" t="s">
        <v>371</v>
      </c>
      <c r="N29" s="109"/>
      <c r="O29" s="23" t="s">
        <v>309</v>
      </c>
    </row>
    <row r="30" spans="1:15" ht="11.4" customHeight="1" x14ac:dyDescent="0.3">
      <c r="A30" s="110" t="s">
        <v>623</v>
      </c>
      <c r="B30" s="108"/>
      <c r="C30" s="109"/>
      <c r="D30" s="21" t="s">
        <v>389</v>
      </c>
      <c r="E30" s="19" t="s">
        <v>727</v>
      </c>
      <c r="F30" s="22" t="s">
        <v>726</v>
      </c>
      <c r="G30" s="20" t="s">
        <v>484</v>
      </c>
      <c r="H30" s="22" t="s">
        <v>725</v>
      </c>
      <c r="I30" s="148" t="s">
        <v>7</v>
      </c>
      <c r="J30" s="109"/>
      <c r="K30" s="22" t="s">
        <v>724</v>
      </c>
      <c r="L30" s="19" t="s">
        <v>370</v>
      </c>
      <c r="M30" s="110" t="s">
        <v>371</v>
      </c>
      <c r="N30" s="109"/>
      <c r="O30" s="19" t="s">
        <v>309</v>
      </c>
    </row>
    <row r="31" spans="1:15" ht="11.4" customHeight="1" x14ac:dyDescent="0.3">
      <c r="A31" s="107" t="s">
        <v>623</v>
      </c>
      <c r="B31" s="108"/>
      <c r="C31" s="109"/>
      <c r="D31" s="19" t="s">
        <v>401</v>
      </c>
      <c r="E31" s="25" t="s">
        <v>723</v>
      </c>
      <c r="F31" s="20" t="s">
        <v>409</v>
      </c>
      <c r="G31" s="24" t="s">
        <v>605</v>
      </c>
      <c r="H31" s="20" t="s">
        <v>405</v>
      </c>
      <c r="I31" s="149" t="s">
        <v>7</v>
      </c>
      <c r="J31" s="93"/>
      <c r="K31" s="20" t="s">
        <v>722</v>
      </c>
      <c r="L31" s="25" t="s">
        <v>370</v>
      </c>
      <c r="M31" s="110" t="s">
        <v>371</v>
      </c>
      <c r="N31" s="109"/>
      <c r="O31" s="26" t="s">
        <v>289</v>
      </c>
    </row>
    <row r="32" spans="1:15" ht="11.4" customHeight="1" x14ac:dyDescent="0.3">
      <c r="A32" s="110" t="s">
        <v>623</v>
      </c>
      <c r="B32" s="108"/>
      <c r="C32" s="109"/>
      <c r="D32" s="25" t="s">
        <v>417</v>
      </c>
      <c r="E32" s="9" t="s">
        <v>721</v>
      </c>
      <c r="F32" s="24" t="s">
        <v>720</v>
      </c>
      <c r="G32" s="11" t="s">
        <v>646</v>
      </c>
      <c r="H32" s="24" t="s">
        <v>719</v>
      </c>
      <c r="I32" s="141" t="s">
        <v>7</v>
      </c>
      <c r="J32" s="85"/>
      <c r="K32" s="24" t="s">
        <v>466</v>
      </c>
      <c r="L32" s="9" t="s">
        <v>370</v>
      </c>
      <c r="M32" s="116" t="s">
        <v>371</v>
      </c>
      <c r="N32" s="93"/>
      <c r="O32" s="9" t="s">
        <v>289</v>
      </c>
    </row>
    <row r="33" spans="1:15" ht="11.4" customHeight="1" x14ac:dyDescent="0.3">
      <c r="A33" s="107" t="s">
        <v>623</v>
      </c>
      <c r="B33" s="108"/>
      <c r="C33" s="109"/>
      <c r="D33" s="9" t="s">
        <v>566</v>
      </c>
      <c r="E33" s="8" t="s">
        <v>718</v>
      </c>
      <c r="F33" s="11" t="s">
        <v>696</v>
      </c>
      <c r="G33" s="10" t="s">
        <v>398</v>
      </c>
      <c r="H33" s="11" t="s">
        <v>717</v>
      </c>
      <c r="I33" s="147" t="s">
        <v>7</v>
      </c>
      <c r="J33" s="106"/>
      <c r="K33" s="11" t="s">
        <v>716</v>
      </c>
      <c r="L33" s="8" t="s">
        <v>370</v>
      </c>
      <c r="M33" s="88" t="s">
        <v>371</v>
      </c>
      <c r="N33" s="85"/>
      <c r="O33" s="9" t="s">
        <v>309</v>
      </c>
    </row>
    <row r="34" spans="1:15" ht="2.85" customHeight="1" x14ac:dyDescent="0.3"/>
    <row r="35" spans="1:15" ht="11.4" customHeight="1" x14ac:dyDescent="0.3">
      <c r="A35" s="94" t="s">
        <v>478</v>
      </c>
      <c r="B35" s="81"/>
      <c r="C35" s="81"/>
      <c r="D35" s="81"/>
      <c r="E35" s="81"/>
      <c r="F35" s="81"/>
      <c r="G35" s="81"/>
      <c r="H35" s="12" t="s">
        <v>715</v>
      </c>
      <c r="I35" s="142" t="s">
        <v>9</v>
      </c>
      <c r="J35" s="143"/>
      <c r="K35" s="97" t="s">
        <v>291</v>
      </c>
      <c r="L35" s="81"/>
      <c r="M35" s="81"/>
      <c r="N35" s="97" t="s">
        <v>292</v>
      </c>
      <c r="O35" s="81"/>
    </row>
    <row r="36" spans="1:15" ht="11.4" customHeight="1" x14ac:dyDescent="0.3">
      <c r="F36" s="97" t="s">
        <v>293</v>
      </c>
      <c r="G36" s="81"/>
      <c r="H36" s="13" t="s">
        <v>714</v>
      </c>
      <c r="I36" s="144" t="s">
        <v>9</v>
      </c>
      <c r="J36" s="145"/>
      <c r="K36" s="100" t="s">
        <v>295</v>
      </c>
      <c r="L36" s="81"/>
      <c r="M36" s="81"/>
      <c r="N36" s="100" t="s">
        <v>295</v>
      </c>
      <c r="O36" s="81"/>
    </row>
    <row r="37" spans="1:15" ht="20.100000000000001" customHeight="1" x14ac:dyDescent="0.3"/>
    <row r="38" spans="1:15" ht="11.4" customHeight="1" x14ac:dyDescent="0.3">
      <c r="A38" s="83" t="s">
        <v>269</v>
      </c>
      <c r="B38" s="84"/>
      <c r="C38" s="85"/>
      <c r="D38" s="6" t="s">
        <v>270</v>
      </c>
      <c r="E38" s="5" t="s">
        <v>271</v>
      </c>
      <c r="F38" s="6" t="s">
        <v>272</v>
      </c>
      <c r="G38" s="5" t="s">
        <v>273</v>
      </c>
      <c r="H38" s="6" t="s">
        <v>274</v>
      </c>
      <c r="I38" s="83" t="s">
        <v>275</v>
      </c>
      <c r="J38" s="85"/>
      <c r="K38" s="6" t="s">
        <v>276</v>
      </c>
      <c r="L38" s="5" t="s">
        <v>277</v>
      </c>
      <c r="M38" s="120" t="s">
        <v>278</v>
      </c>
      <c r="N38" s="93"/>
      <c r="O38" s="5" t="s">
        <v>279</v>
      </c>
    </row>
    <row r="39" spans="1:15" ht="11.4" customHeight="1" x14ac:dyDescent="0.3">
      <c r="A39" s="111" t="s">
        <v>623</v>
      </c>
      <c r="B39" s="112"/>
      <c r="C39" s="106"/>
      <c r="D39" s="9" t="s">
        <v>713</v>
      </c>
      <c r="E39" s="8" t="s">
        <v>7</v>
      </c>
      <c r="F39" s="11" t="s">
        <v>489</v>
      </c>
      <c r="G39" s="10" t="s">
        <v>712</v>
      </c>
      <c r="H39" s="11" t="s">
        <v>707</v>
      </c>
      <c r="I39" s="147" t="s">
        <v>7</v>
      </c>
      <c r="J39" s="106"/>
      <c r="K39" s="11" t="s">
        <v>711</v>
      </c>
      <c r="L39" s="8" t="s">
        <v>287</v>
      </c>
      <c r="M39" s="88" t="s">
        <v>710</v>
      </c>
      <c r="N39" s="85"/>
      <c r="O39" s="9" t="s">
        <v>709</v>
      </c>
    </row>
    <row r="40" spans="1:15" ht="2.85" customHeight="1" x14ac:dyDescent="0.3"/>
    <row r="41" spans="1:15" ht="11.4" customHeight="1" x14ac:dyDescent="0.3">
      <c r="A41" s="94" t="s">
        <v>708</v>
      </c>
      <c r="B41" s="81"/>
      <c r="C41" s="81"/>
      <c r="D41" s="81"/>
      <c r="E41" s="81"/>
      <c r="F41" s="81"/>
      <c r="G41" s="81"/>
      <c r="H41" s="12" t="s">
        <v>707</v>
      </c>
      <c r="I41" s="142" t="s">
        <v>9</v>
      </c>
      <c r="J41" s="143"/>
      <c r="K41" s="97" t="s">
        <v>291</v>
      </c>
      <c r="L41" s="81"/>
      <c r="M41" s="81"/>
      <c r="N41" s="97" t="s">
        <v>292</v>
      </c>
      <c r="O41" s="81"/>
    </row>
    <row r="42" spans="1:15" ht="11.4" customHeight="1" x14ac:dyDescent="0.3">
      <c r="F42" s="97" t="s">
        <v>293</v>
      </c>
      <c r="G42" s="81"/>
      <c r="H42" s="13" t="s">
        <v>706</v>
      </c>
      <c r="I42" s="144" t="s">
        <v>9</v>
      </c>
      <c r="J42" s="145"/>
      <c r="K42" s="100" t="s">
        <v>295</v>
      </c>
      <c r="L42" s="81"/>
      <c r="M42" s="81"/>
      <c r="N42" s="100" t="s">
        <v>295</v>
      </c>
      <c r="O42" s="81"/>
    </row>
    <row r="43" spans="1:15" ht="20.100000000000001" customHeight="1" x14ac:dyDescent="0.3"/>
    <row r="44" spans="1:15" ht="11.4" customHeight="1" x14ac:dyDescent="0.3">
      <c r="A44" s="83" t="s">
        <v>269</v>
      </c>
      <c r="B44" s="84"/>
      <c r="C44" s="85"/>
      <c r="D44" s="6" t="s">
        <v>270</v>
      </c>
      <c r="E44" s="5" t="s">
        <v>271</v>
      </c>
      <c r="F44" s="6" t="s">
        <v>272</v>
      </c>
      <c r="G44" s="5" t="s">
        <v>273</v>
      </c>
      <c r="H44" s="6" t="s">
        <v>274</v>
      </c>
      <c r="I44" s="83" t="s">
        <v>275</v>
      </c>
      <c r="J44" s="85"/>
      <c r="K44" s="6" t="s">
        <v>276</v>
      </c>
      <c r="L44" s="5" t="s">
        <v>277</v>
      </c>
      <c r="M44" s="120" t="s">
        <v>278</v>
      </c>
      <c r="N44" s="93"/>
      <c r="O44" s="5" t="s">
        <v>279</v>
      </c>
    </row>
    <row r="45" spans="1:15" ht="11.4" customHeight="1" x14ac:dyDescent="0.3">
      <c r="A45" s="101" t="s">
        <v>623</v>
      </c>
      <c r="B45" s="84"/>
      <c r="C45" s="85"/>
      <c r="D45" s="9" t="s">
        <v>540</v>
      </c>
      <c r="E45" s="14" t="s">
        <v>705</v>
      </c>
      <c r="F45" s="11" t="s">
        <v>704</v>
      </c>
      <c r="G45" s="15" t="s">
        <v>646</v>
      </c>
      <c r="H45" s="11" t="s">
        <v>7</v>
      </c>
      <c r="I45" s="141" t="s">
        <v>703</v>
      </c>
      <c r="J45" s="85"/>
      <c r="K45" s="11" t="s">
        <v>503</v>
      </c>
      <c r="L45" s="14" t="s">
        <v>4</v>
      </c>
      <c r="M45" s="88" t="s">
        <v>486</v>
      </c>
      <c r="N45" s="85"/>
      <c r="O45" s="16" t="s">
        <v>309</v>
      </c>
    </row>
    <row r="46" spans="1:15" ht="11.4" customHeight="1" x14ac:dyDescent="0.3">
      <c r="A46" s="88" t="s">
        <v>623</v>
      </c>
      <c r="B46" s="84"/>
      <c r="C46" s="85"/>
      <c r="D46" s="14" t="s">
        <v>504</v>
      </c>
      <c r="E46" s="9" t="s">
        <v>702</v>
      </c>
      <c r="F46" s="15" t="s">
        <v>701</v>
      </c>
      <c r="G46" s="11" t="s">
        <v>700</v>
      </c>
      <c r="H46" s="15" t="s">
        <v>7</v>
      </c>
      <c r="I46" s="117" t="s">
        <v>699</v>
      </c>
      <c r="J46" s="118"/>
      <c r="K46" s="15" t="s">
        <v>698</v>
      </c>
      <c r="L46" s="9" t="s">
        <v>4</v>
      </c>
      <c r="M46" s="88" t="s">
        <v>486</v>
      </c>
      <c r="N46" s="85"/>
      <c r="O46" s="9" t="s">
        <v>309</v>
      </c>
    </row>
    <row r="47" spans="1:15" ht="11.4" customHeight="1" x14ac:dyDescent="0.3">
      <c r="A47" s="101" t="s">
        <v>623</v>
      </c>
      <c r="B47" s="84"/>
      <c r="C47" s="85"/>
      <c r="D47" s="9" t="s">
        <v>481</v>
      </c>
      <c r="E47" s="14" t="s">
        <v>697</v>
      </c>
      <c r="F47" s="11" t="s">
        <v>696</v>
      </c>
      <c r="G47" s="15" t="s">
        <v>695</v>
      </c>
      <c r="H47" s="11" t="s">
        <v>7</v>
      </c>
      <c r="I47" s="117" t="s">
        <v>694</v>
      </c>
      <c r="J47" s="118"/>
      <c r="K47" s="11" t="s">
        <v>693</v>
      </c>
      <c r="L47" s="14" t="s">
        <v>4</v>
      </c>
      <c r="M47" s="88" t="s">
        <v>486</v>
      </c>
      <c r="N47" s="85"/>
      <c r="O47" s="16" t="s">
        <v>309</v>
      </c>
    </row>
    <row r="48" spans="1:15" ht="11.4" customHeight="1" x14ac:dyDescent="0.3">
      <c r="A48" s="88" t="s">
        <v>623</v>
      </c>
      <c r="B48" s="84"/>
      <c r="C48" s="85"/>
      <c r="D48" s="8" t="s">
        <v>510</v>
      </c>
      <c r="E48" s="9" t="s">
        <v>692</v>
      </c>
      <c r="F48" s="10" t="s">
        <v>691</v>
      </c>
      <c r="G48" s="11" t="s">
        <v>690</v>
      </c>
      <c r="H48" s="10" t="s">
        <v>7</v>
      </c>
      <c r="I48" s="117" t="s">
        <v>689</v>
      </c>
      <c r="J48" s="118"/>
      <c r="K48" s="10" t="s">
        <v>667</v>
      </c>
      <c r="L48" s="9" t="s">
        <v>4</v>
      </c>
      <c r="M48" s="105" t="s">
        <v>486</v>
      </c>
      <c r="N48" s="106"/>
      <c r="O48" s="9" t="s">
        <v>289</v>
      </c>
    </row>
    <row r="49" spans="1:15" ht="11.4" customHeight="1" x14ac:dyDescent="0.3">
      <c r="A49" s="111" t="s">
        <v>623</v>
      </c>
      <c r="B49" s="112"/>
      <c r="C49" s="106"/>
      <c r="D49" s="19" t="s">
        <v>535</v>
      </c>
      <c r="E49" s="8" t="s">
        <v>688</v>
      </c>
      <c r="F49" s="20" t="s">
        <v>687</v>
      </c>
      <c r="G49" s="10" t="s">
        <v>686</v>
      </c>
      <c r="H49" s="20" t="s">
        <v>7</v>
      </c>
      <c r="I49" s="124" t="s">
        <v>685</v>
      </c>
      <c r="J49" s="125"/>
      <c r="K49" s="20" t="s">
        <v>530</v>
      </c>
      <c r="L49" s="8" t="s">
        <v>4</v>
      </c>
      <c r="M49" s="110" t="s">
        <v>486</v>
      </c>
      <c r="N49" s="109"/>
      <c r="O49" s="45" t="s">
        <v>309</v>
      </c>
    </row>
    <row r="50" spans="1:15" ht="11.4" customHeight="1" x14ac:dyDescent="0.3">
      <c r="A50" s="110" t="s">
        <v>623</v>
      </c>
      <c r="B50" s="108"/>
      <c r="C50" s="109"/>
      <c r="D50" s="21" t="s">
        <v>545</v>
      </c>
      <c r="E50" s="19" t="s">
        <v>684</v>
      </c>
      <c r="F50" s="22" t="s">
        <v>595</v>
      </c>
      <c r="G50" s="20" t="s">
        <v>683</v>
      </c>
      <c r="H50" s="22" t="s">
        <v>7</v>
      </c>
      <c r="I50" s="135" t="s">
        <v>682</v>
      </c>
      <c r="J50" s="136"/>
      <c r="K50" s="22" t="s">
        <v>681</v>
      </c>
      <c r="L50" s="19" t="s">
        <v>4</v>
      </c>
      <c r="M50" s="110" t="s">
        <v>486</v>
      </c>
      <c r="N50" s="109"/>
      <c r="O50" s="19" t="s">
        <v>309</v>
      </c>
    </row>
    <row r="51" spans="1:15" ht="11.4" customHeight="1" x14ac:dyDescent="0.3">
      <c r="A51" s="107" t="s">
        <v>623</v>
      </c>
      <c r="B51" s="108"/>
      <c r="C51" s="109"/>
      <c r="D51" s="19" t="s">
        <v>493</v>
      </c>
      <c r="E51" s="21" t="s">
        <v>680</v>
      </c>
      <c r="F51" s="20" t="s">
        <v>679</v>
      </c>
      <c r="G51" s="22" t="s">
        <v>512</v>
      </c>
      <c r="H51" s="20" t="s">
        <v>7</v>
      </c>
      <c r="I51" s="135" t="s">
        <v>678</v>
      </c>
      <c r="J51" s="136"/>
      <c r="K51" s="20" t="s">
        <v>677</v>
      </c>
      <c r="L51" s="21" t="s">
        <v>4</v>
      </c>
      <c r="M51" s="110" t="s">
        <v>486</v>
      </c>
      <c r="N51" s="109"/>
      <c r="O51" s="23" t="s">
        <v>289</v>
      </c>
    </row>
    <row r="52" spans="1:15" ht="11.4" customHeight="1" x14ac:dyDescent="0.3">
      <c r="A52" s="110" t="s">
        <v>623</v>
      </c>
      <c r="B52" s="108"/>
      <c r="C52" s="109"/>
      <c r="D52" s="21" t="s">
        <v>522</v>
      </c>
      <c r="E52" s="19" t="s">
        <v>676</v>
      </c>
      <c r="F52" s="22" t="s">
        <v>524</v>
      </c>
      <c r="G52" s="20" t="s">
        <v>392</v>
      </c>
      <c r="H52" s="22" t="s">
        <v>7</v>
      </c>
      <c r="I52" s="135" t="s">
        <v>675</v>
      </c>
      <c r="J52" s="136"/>
      <c r="K52" s="22" t="s">
        <v>624</v>
      </c>
      <c r="L52" s="19" t="s">
        <v>4</v>
      </c>
      <c r="M52" s="110" t="s">
        <v>486</v>
      </c>
      <c r="N52" s="109"/>
      <c r="O52" s="19" t="s">
        <v>309</v>
      </c>
    </row>
    <row r="53" spans="1:15" ht="11.4" customHeight="1" x14ac:dyDescent="0.3">
      <c r="A53" s="107" t="s">
        <v>623</v>
      </c>
      <c r="B53" s="108"/>
      <c r="C53" s="109"/>
      <c r="D53" s="19" t="s">
        <v>550</v>
      </c>
      <c r="E53" s="21" t="s">
        <v>674</v>
      </c>
      <c r="F53" s="20" t="s">
        <v>661</v>
      </c>
      <c r="G53" s="22" t="s">
        <v>673</v>
      </c>
      <c r="H53" s="20" t="s">
        <v>7</v>
      </c>
      <c r="I53" s="135" t="s">
        <v>672</v>
      </c>
      <c r="J53" s="136"/>
      <c r="K53" s="20" t="s">
        <v>416</v>
      </c>
      <c r="L53" s="21" t="s">
        <v>4</v>
      </c>
      <c r="M53" s="110" t="s">
        <v>486</v>
      </c>
      <c r="N53" s="109"/>
      <c r="O53" s="23" t="s">
        <v>289</v>
      </c>
    </row>
    <row r="54" spans="1:15" ht="11.4" customHeight="1" x14ac:dyDescent="0.3">
      <c r="A54" s="110" t="s">
        <v>623</v>
      </c>
      <c r="B54" s="108"/>
      <c r="C54" s="109"/>
      <c r="D54" s="21" t="s">
        <v>517</v>
      </c>
      <c r="E54" s="19" t="s">
        <v>671</v>
      </c>
      <c r="F54" s="22" t="s">
        <v>670</v>
      </c>
      <c r="G54" s="20" t="s">
        <v>669</v>
      </c>
      <c r="H54" s="22" t="s">
        <v>7</v>
      </c>
      <c r="I54" s="135" t="s">
        <v>668</v>
      </c>
      <c r="J54" s="136"/>
      <c r="K54" s="22" t="s">
        <v>667</v>
      </c>
      <c r="L54" s="19" t="s">
        <v>4</v>
      </c>
      <c r="M54" s="110" t="s">
        <v>486</v>
      </c>
      <c r="N54" s="109"/>
      <c r="O54" s="19" t="s">
        <v>289</v>
      </c>
    </row>
    <row r="55" spans="1:15" ht="11.4" customHeight="1" x14ac:dyDescent="0.3">
      <c r="A55" s="107" t="s">
        <v>623</v>
      </c>
      <c r="B55" s="108"/>
      <c r="C55" s="109"/>
      <c r="D55" s="19" t="s">
        <v>498</v>
      </c>
      <c r="E55" s="21" t="s">
        <v>666</v>
      </c>
      <c r="F55" s="20" t="s">
        <v>665</v>
      </c>
      <c r="G55" s="22" t="s">
        <v>664</v>
      </c>
      <c r="H55" s="20" t="s">
        <v>7</v>
      </c>
      <c r="I55" s="135" t="s">
        <v>442</v>
      </c>
      <c r="J55" s="136"/>
      <c r="K55" s="20" t="s">
        <v>663</v>
      </c>
      <c r="L55" s="21" t="s">
        <v>4</v>
      </c>
      <c r="M55" s="110" t="s">
        <v>486</v>
      </c>
      <c r="N55" s="109"/>
      <c r="O55" s="23" t="s">
        <v>289</v>
      </c>
    </row>
    <row r="56" spans="1:15" ht="11.4" customHeight="1" x14ac:dyDescent="0.3">
      <c r="A56" s="110" t="s">
        <v>623</v>
      </c>
      <c r="B56" s="108"/>
      <c r="C56" s="109"/>
      <c r="D56" s="21" t="s">
        <v>407</v>
      </c>
      <c r="E56" s="19" t="s">
        <v>662</v>
      </c>
      <c r="F56" s="22" t="s">
        <v>661</v>
      </c>
      <c r="G56" s="20" t="s">
        <v>484</v>
      </c>
      <c r="H56" s="22" t="s">
        <v>7</v>
      </c>
      <c r="I56" s="135" t="s">
        <v>660</v>
      </c>
      <c r="J56" s="136"/>
      <c r="K56" s="22" t="s">
        <v>597</v>
      </c>
      <c r="L56" s="19" t="s">
        <v>4</v>
      </c>
      <c r="M56" s="110" t="s">
        <v>486</v>
      </c>
      <c r="N56" s="109"/>
      <c r="O56" s="19" t="s">
        <v>309</v>
      </c>
    </row>
    <row r="57" spans="1:15" ht="11.4" customHeight="1" x14ac:dyDescent="0.3">
      <c r="A57" s="107" t="s">
        <v>623</v>
      </c>
      <c r="B57" s="108"/>
      <c r="C57" s="109"/>
      <c r="D57" s="19" t="s">
        <v>487</v>
      </c>
      <c r="E57" s="25" t="s">
        <v>659</v>
      </c>
      <c r="F57" s="20" t="s">
        <v>658</v>
      </c>
      <c r="G57" s="24" t="s">
        <v>459</v>
      </c>
      <c r="H57" s="20" t="s">
        <v>7</v>
      </c>
      <c r="I57" s="122" t="s">
        <v>538</v>
      </c>
      <c r="J57" s="123"/>
      <c r="K57" s="20" t="s">
        <v>637</v>
      </c>
      <c r="L57" s="25" t="s">
        <v>4</v>
      </c>
      <c r="M57" s="110" t="s">
        <v>486</v>
      </c>
      <c r="N57" s="109"/>
      <c r="O57" s="26" t="s">
        <v>289</v>
      </c>
    </row>
    <row r="58" spans="1:15" ht="11.4" customHeight="1" x14ac:dyDescent="0.3">
      <c r="A58" s="110" t="s">
        <v>623</v>
      </c>
      <c r="B58" s="108"/>
      <c r="C58" s="109"/>
      <c r="D58" s="25" t="s">
        <v>481</v>
      </c>
      <c r="E58" s="9" t="s">
        <v>657</v>
      </c>
      <c r="F58" s="24" t="s">
        <v>656</v>
      </c>
      <c r="G58" s="11" t="s">
        <v>495</v>
      </c>
      <c r="H58" s="24" t="s">
        <v>7</v>
      </c>
      <c r="I58" s="117" t="s">
        <v>655</v>
      </c>
      <c r="J58" s="118"/>
      <c r="K58" s="24" t="s">
        <v>649</v>
      </c>
      <c r="L58" s="9" t="s">
        <v>4</v>
      </c>
      <c r="M58" s="116" t="s">
        <v>486</v>
      </c>
      <c r="N58" s="93"/>
      <c r="O58" s="9" t="s">
        <v>309</v>
      </c>
    </row>
    <row r="59" spans="1:15" ht="11.4" customHeight="1" x14ac:dyDescent="0.3">
      <c r="A59" s="121" t="s">
        <v>623</v>
      </c>
      <c r="B59" s="92"/>
      <c r="C59" s="93"/>
      <c r="D59" s="9" t="s">
        <v>654</v>
      </c>
      <c r="E59" s="14" t="s">
        <v>653</v>
      </c>
      <c r="F59" s="11" t="s">
        <v>652</v>
      </c>
      <c r="G59" s="15" t="s">
        <v>651</v>
      </c>
      <c r="H59" s="11" t="s">
        <v>7</v>
      </c>
      <c r="I59" s="117" t="s">
        <v>650</v>
      </c>
      <c r="J59" s="118"/>
      <c r="K59" s="11" t="s">
        <v>649</v>
      </c>
      <c r="L59" s="14" t="s">
        <v>4</v>
      </c>
      <c r="M59" s="88" t="s">
        <v>486</v>
      </c>
      <c r="N59" s="85"/>
      <c r="O59" s="44" t="s">
        <v>309</v>
      </c>
    </row>
    <row r="60" spans="1:15" ht="11.4" customHeight="1" x14ac:dyDescent="0.3">
      <c r="A60" s="88" t="s">
        <v>623</v>
      </c>
      <c r="B60" s="84"/>
      <c r="C60" s="85"/>
      <c r="D60" s="14" t="s">
        <v>540</v>
      </c>
      <c r="E60" s="9" t="s">
        <v>648</v>
      </c>
      <c r="F60" s="15" t="s">
        <v>647</v>
      </c>
      <c r="G60" s="11" t="s">
        <v>646</v>
      </c>
      <c r="H60" s="15" t="s">
        <v>7</v>
      </c>
      <c r="I60" s="117" t="s">
        <v>645</v>
      </c>
      <c r="J60" s="118"/>
      <c r="K60" s="15" t="s">
        <v>580</v>
      </c>
      <c r="L60" s="9" t="s">
        <v>4</v>
      </c>
      <c r="M60" s="88" t="s">
        <v>486</v>
      </c>
      <c r="N60" s="85"/>
      <c r="O60" s="9" t="s">
        <v>309</v>
      </c>
    </row>
    <row r="61" spans="1:15" ht="11.4" customHeight="1" x14ac:dyDescent="0.3">
      <c r="A61" s="101" t="s">
        <v>623</v>
      </c>
      <c r="B61" s="84"/>
      <c r="C61" s="85"/>
      <c r="D61" s="9" t="s">
        <v>412</v>
      </c>
      <c r="E61" s="14" t="s">
        <v>644</v>
      </c>
      <c r="F61" s="11" t="s">
        <v>643</v>
      </c>
      <c r="G61" s="15" t="s">
        <v>642</v>
      </c>
      <c r="H61" s="11" t="s">
        <v>7</v>
      </c>
      <c r="I61" s="117" t="s">
        <v>337</v>
      </c>
      <c r="J61" s="118"/>
      <c r="K61" s="11" t="s">
        <v>641</v>
      </c>
      <c r="L61" s="14" t="s">
        <v>4</v>
      </c>
      <c r="M61" s="88" t="s">
        <v>486</v>
      </c>
      <c r="N61" s="85"/>
      <c r="O61" s="44" t="s">
        <v>309</v>
      </c>
    </row>
    <row r="62" spans="1:15" ht="11.4" customHeight="1" x14ac:dyDescent="0.3">
      <c r="A62" s="88" t="s">
        <v>623</v>
      </c>
      <c r="B62" s="84"/>
      <c r="C62" s="85"/>
      <c r="D62" s="42" t="s">
        <v>545</v>
      </c>
      <c r="E62" s="9" t="s">
        <v>640</v>
      </c>
      <c r="F62" s="43" t="s">
        <v>639</v>
      </c>
      <c r="G62" s="11" t="s">
        <v>501</v>
      </c>
      <c r="H62" s="43" t="s">
        <v>7</v>
      </c>
      <c r="I62" s="117" t="s">
        <v>638</v>
      </c>
      <c r="J62" s="118"/>
      <c r="K62" s="43" t="s">
        <v>637</v>
      </c>
      <c r="L62" s="9" t="s">
        <v>4</v>
      </c>
      <c r="M62" s="88" t="s">
        <v>486</v>
      </c>
      <c r="N62" s="85"/>
      <c r="O62" s="9" t="s">
        <v>309</v>
      </c>
    </row>
    <row r="63" spans="1:15" ht="14.25" customHeight="1" x14ac:dyDescent="0.3"/>
    <row r="64" spans="1:15" ht="14.25" customHeight="1" x14ac:dyDescent="0.3">
      <c r="A64" s="126" t="s">
        <v>616</v>
      </c>
      <c r="B64" s="81"/>
      <c r="C64" s="81"/>
      <c r="D64" s="81"/>
      <c r="E64" s="81"/>
      <c r="F64" s="81"/>
      <c r="G64" s="81"/>
      <c r="H64" s="81"/>
      <c r="I64" s="81"/>
      <c r="J64" s="127" t="s">
        <v>516</v>
      </c>
      <c r="K64" s="81"/>
      <c r="L64" s="81"/>
      <c r="M64" s="81"/>
      <c r="N64" s="81"/>
      <c r="O64" s="81"/>
    </row>
    <row r="65" spans="1:15" ht="0.6" customHeight="1" x14ac:dyDescent="0.3"/>
    <row r="66" spans="1:15" ht="11.4" customHeight="1" x14ac:dyDescent="0.3">
      <c r="A66" s="121" t="s">
        <v>623</v>
      </c>
      <c r="B66" s="92"/>
      <c r="C66" s="93"/>
      <c r="D66" s="9" t="s">
        <v>561</v>
      </c>
      <c r="E66" s="25" t="s">
        <v>636</v>
      </c>
      <c r="F66" s="11" t="s">
        <v>635</v>
      </c>
      <c r="G66" s="24" t="s">
        <v>575</v>
      </c>
      <c r="H66" s="11" t="s">
        <v>7</v>
      </c>
      <c r="I66" s="122" t="s">
        <v>491</v>
      </c>
      <c r="J66" s="123"/>
      <c r="K66" s="11" t="s">
        <v>624</v>
      </c>
      <c r="L66" s="25" t="s">
        <v>4</v>
      </c>
      <c r="M66" s="88" t="s">
        <v>486</v>
      </c>
      <c r="N66" s="85"/>
      <c r="O66" s="29" t="s">
        <v>309</v>
      </c>
    </row>
    <row r="67" spans="1:15" ht="11.4" customHeight="1" x14ac:dyDescent="0.3">
      <c r="A67" s="88" t="s">
        <v>623</v>
      </c>
      <c r="B67" s="84"/>
      <c r="C67" s="85"/>
      <c r="D67" s="14" t="s">
        <v>504</v>
      </c>
      <c r="E67" s="9" t="s">
        <v>634</v>
      </c>
      <c r="F67" s="15" t="s">
        <v>633</v>
      </c>
      <c r="G67" s="11" t="s">
        <v>575</v>
      </c>
      <c r="H67" s="15" t="s">
        <v>7</v>
      </c>
      <c r="I67" s="117" t="s">
        <v>632</v>
      </c>
      <c r="J67" s="118"/>
      <c r="K67" s="15" t="s">
        <v>422</v>
      </c>
      <c r="L67" s="9" t="s">
        <v>4</v>
      </c>
      <c r="M67" s="88" t="s">
        <v>486</v>
      </c>
      <c r="N67" s="85"/>
      <c r="O67" s="9" t="s">
        <v>309</v>
      </c>
    </row>
    <row r="68" spans="1:15" ht="11.4" customHeight="1" x14ac:dyDescent="0.3">
      <c r="A68" s="101" t="s">
        <v>623</v>
      </c>
      <c r="B68" s="84"/>
      <c r="C68" s="85"/>
      <c r="D68" s="9" t="s">
        <v>510</v>
      </c>
      <c r="E68" s="14" t="s">
        <v>631</v>
      </c>
      <c r="F68" s="11" t="s">
        <v>630</v>
      </c>
      <c r="G68" s="15" t="s">
        <v>629</v>
      </c>
      <c r="H68" s="11" t="s">
        <v>7</v>
      </c>
      <c r="I68" s="117" t="s">
        <v>628</v>
      </c>
      <c r="J68" s="118"/>
      <c r="K68" s="11" t="s">
        <v>521</v>
      </c>
      <c r="L68" s="14" t="s">
        <v>4</v>
      </c>
      <c r="M68" s="88" t="s">
        <v>486</v>
      </c>
      <c r="N68" s="85"/>
      <c r="O68" s="44" t="s">
        <v>289</v>
      </c>
    </row>
    <row r="69" spans="1:15" ht="11.4" customHeight="1" x14ac:dyDescent="0.3">
      <c r="A69" s="88" t="s">
        <v>623</v>
      </c>
      <c r="B69" s="84"/>
      <c r="C69" s="85"/>
      <c r="D69" s="14" t="s">
        <v>522</v>
      </c>
      <c r="E69" s="9" t="s">
        <v>627</v>
      </c>
      <c r="F69" s="15" t="s">
        <v>626</v>
      </c>
      <c r="G69" s="11" t="s">
        <v>625</v>
      </c>
      <c r="H69" s="43" t="s">
        <v>7</v>
      </c>
      <c r="I69" s="117" t="s">
        <v>307</v>
      </c>
      <c r="J69" s="118"/>
      <c r="K69" s="43" t="s">
        <v>624</v>
      </c>
      <c r="L69" s="9" t="s">
        <v>4</v>
      </c>
      <c r="M69" s="105" t="s">
        <v>486</v>
      </c>
      <c r="N69" s="106"/>
      <c r="O69" s="9" t="s">
        <v>309</v>
      </c>
    </row>
    <row r="70" spans="1:15" ht="11.4" customHeight="1" x14ac:dyDescent="0.3">
      <c r="A70" s="101" t="s">
        <v>623</v>
      </c>
      <c r="B70" s="84"/>
      <c r="C70" s="85"/>
      <c r="D70" s="9" t="s">
        <v>566</v>
      </c>
      <c r="E70" s="42" t="s">
        <v>622</v>
      </c>
      <c r="F70" s="11" t="s">
        <v>621</v>
      </c>
      <c r="G70" s="41" t="s">
        <v>398</v>
      </c>
      <c r="H70" s="38" t="s">
        <v>7</v>
      </c>
      <c r="I70" s="117" t="s">
        <v>620</v>
      </c>
      <c r="J70" s="150"/>
      <c r="K70" s="38" t="s">
        <v>619</v>
      </c>
      <c r="L70" s="40" t="s">
        <v>4</v>
      </c>
      <c r="M70" s="116" t="s">
        <v>486</v>
      </c>
      <c r="N70" s="139"/>
      <c r="O70" s="40" t="s">
        <v>309</v>
      </c>
    </row>
    <row r="71" spans="1:15" ht="2.85" customHeight="1" x14ac:dyDescent="0.3"/>
    <row r="72" spans="1:15" ht="11.4" customHeight="1" x14ac:dyDescent="0.3">
      <c r="A72" s="94" t="s">
        <v>612</v>
      </c>
      <c r="B72" s="81"/>
      <c r="C72" s="81"/>
      <c r="D72" s="81"/>
      <c r="E72" s="81"/>
      <c r="F72" s="81"/>
      <c r="G72" s="81"/>
      <c r="H72" s="12" t="s">
        <v>9</v>
      </c>
      <c r="I72" s="142" t="s">
        <v>618</v>
      </c>
      <c r="J72" s="143"/>
      <c r="K72" s="97" t="s">
        <v>291</v>
      </c>
      <c r="L72" s="81"/>
      <c r="M72" s="81"/>
      <c r="N72" s="97" t="s">
        <v>292</v>
      </c>
      <c r="O72" s="81"/>
    </row>
    <row r="73" spans="1:15" ht="11.4" customHeight="1" x14ac:dyDescent="0.3">
      <c r="F73" s="97" t="s">
        <v>293</v>
      </c>
      <c r="G73" s="81"/>
      <c r="H73" s="13" t="s">
        <v>9</v>
      </c>
      <c r="I73" s="144" t="s">
        <v>617</v>
      </c>
      <c r="J73" s="145"/>
      <c r="K73" s="100" t="s">
        <v>295</v>
      </c>
      <c r="L73" s="81"/>
      <c r="M73" s="81"/>
      <c r="N73" s="100" t="s">
        <v>295</v>
      </c>
      <c r="O73" s="81"/>
    </row>
    <row r="74" spans="1:15" ht="408.9" customHeight="1" x14ac:dyDescent="0.3"/>
    <row r="75" spans="1:15" ht="289.5" customHeight="1" x14ac:dyDescent="0.3"/>
    <row r="76" spans="1:15" ht="14.25" customHeight="1" x14ac:dyDescent="0.3">
      <c r="A76" s="126" t="s">
        <v>616</v>
      </c>
      <c r="B76" s="81"/>
      <c r="C76" s="81"/>
      <c r="D76" s="81"/>
      <c r="E76" s="81"/>
      <c r="F76" s="81"/>
      <c r="G76" s="81"/>
      <c r="H76" s="81"/>
      <c r="I76" s="81"/>
      <c r="J76" s="127" t="s">
        <v>615</v>
      </c>
      <c r="K76" s="81"/>
      <c r="L76" s="81"/>
      <c r="M76" s="81"/>
      <c r="N76" s="81"/>
      <c r="O76" s="81"/>
    </row>
    <row r="77" spans="1:15" ht="11.4" customHeight="1" x14ac:dyDescent="0.3"/>
  </sheetData>
  <mergeCells count="187">
    <mergeCell ref="F73:G73"/>
    <mergeCell ref="I73:J73"/>
    <mergeCell ref="K73:M73"/>
    <mergeCell ref="N73:O73"/>
    <mergeCell ref="A76:I76"/>
    <mergeCell ref="J76:O76"/>
    <mergeCell ref="A70:C70"/>
    <mergeCell ref="I70:J70"/>
    <mergeCell ref="M70:N70"/>
    <mergeCell ref="A72:G72"/>
    <mergeCell ref="I72:J72"/>
    <mergeCell ref="K72:M72"/>
    <mergeCell ref="N72:O72"/>
    <mergeCell ref="A68:C68"/>
    <mergeCell ref="I68:J68"/>
    <mergeCell ref="M68:N68"/>
    <mergeCell ref="A69:C69"/>
    <mergeCell ref="I69:J69"/>
    <mergeCell ref="M69:N69"/>
    <mergeCell ref="A64:I64"/>
    <mergeCell ref="J64:O64"/>
    <mergeCell ref="A66:C66"/>
    <mergeCell ref="I66:J66"/>
    <mergeCell ref="M66:N66"/>
    <mergeCell ref="A67:C67"/>
    <mergeCell ref="I67:J67"/>
    <mergeCell ref="M67:N67"/>
    <mergeCell ref="A61:C61"/>
    <mergeCell ref="I61:J61"/>
    <mergeCell ref="M61:N61"/>
    <mergeCell ref="A62:C62"/>
    <mergeCell ref="I62:J62"/>
    <mergeCell ref="M62:N62"/>
    <mergeCell ref="A59:C59"/>
    <mergeCell ref="I59:J59"/>
    <mergeCell ref="M59:N59"/>
    <mergeCell ref="A60:C60"/>
    <mergeCell ref="I60:J60"/>
    <mergeCell ref="M60:N60"/>
    <mergeCell ref="A57:C57"/>
    <mergeCell ref="I57:J57"/>
    <mergeCell ref="M57:N57"/>
    <mergeCell ref="A58:C58"/>
    <mergeCell ref="I58:J58"/>
    <mergeCell ref="M58:N58"/>
    <mergeCell ref="A55:C55"/>
    <mergeCell ref="I55:J55"/>
    <mergeCell ref="M55:N55"/>
    <mergeCell ref="A56:C56"/>
    <mergeCell ref="I56:J56"/>
    <mergeCell ref="M56:N56"/>
    <mergeCell ref="A53:C53"/>
    <mergeCell ref="I53:J53"/>
    <mergeCell ref="M53:N53"/>
    <mergeCell ref="A54:C54"/>
    <mergeCell ref="I54:J54"/>
    <mergeCell ref="M54:N54"/>
    <mergeCell ref="A51:C51"/>
    <mergeCell ref="I51:J51"/>
    <mergeCell ref="M51:N51"/>
    <mergeCell ref="A52:C52"/>
    <mergeCell ref="I52:J52"/>
    <mergeCell ref="M52:N52"/>
    <mergeCell ref="A49:C49"/>
    <mergeCell ref="I49:J49"/>
    <mergeCell ref="M49:N49"/>
    <mergeCell ref="A50:C50"/>
    <mergeCell ref="I50:J50"/>
    <mergeCell ref="M50:N50"/>
    <mergeCell ref="A47:C47"/>
    <mergeCell ref="I47:J47"/>
    <mergeCell ref="M47:N47"/>
    <mergeCell ref="A48:C48"/>
    <mergeCell ref="I48:J48"/>
    <mergeCell ref="M48:N48"/>
    <mergeCell ref="A45:C45"/>
    <mergeCell ref="I45:J45"/>
    <mergeCell ref="M45:N45"/>
    <mergeCell ref="A46:C46"/>
    <mergeCell ref="I46:J46"/>
    <mergeCell ref="M46:N46"/>
    <mergeCell ref="F42:G42"/>
    <mergeCell ref="I42:J42"/>
    <mergeCell ref="K42:M42"/>
    <mergeCell ref="N42:O42"/>
    <mergeCell ref="A44:C44"/>
    <mergeCell ref="I44:J44"/>
    <mergeCell ref="M44:N44"/>
    <mergeCell ref="A39:C39"/>
    <mergeCell ref="I39:J39"/>
    <mergeCell ref="M39:N39"/>
    <mergeCell ref="A41:G41"/>
    <mergeCell ref="I41:J41"/>
    <mergeCell ref="K41:M41"/>
    <mergeCell ref="N41:O41"/>
    <mergeCell ref="F36:G36"/>
    <mergeCell ref="I36:J36"/>
    <mergeCell ref="K36:M36"/>
    <mergeCell ref="N36:O36"/>
    <mergeCell ref="A38:C38"/>
    <mergeCell ref="I38:J38"/>
    <mergeCell ref="M38:N38"/>
    <mergeCell ref="A33:C33"/>
    <mergeCell ref="I33:J33"/>
    <mergeCell ref="M33:N33"/>
    <mergeCell ref="A35:G35"/>
    <mergeCell ref="I35:J35"/>
    <mergeCell ref="K35:M35"/>
    <mergeCell ref="N35:O35"/>
    <mergeCell ref="A31:C31"/>
    <mergeCell ref="I31:J31"/>
    <mergeCell ref="M31:N31"/>
    <mergeCell ref="A32:C32"/>
    <mergeCell ref="I32:J32"/>
    <mergeCell ref="M32:N32"/>
    <mergeCell ref="A29:C29"/>
    <mergeCell ref="I29:J29"/>
    <mergeCell ref="M29:N29"/>
    <mergeCell ref="A30:C30"/>
    <mergeCell ref="I30:J30"/>
    <mergeCell ref="M30:N30"/>
    <mergeCell ref="A27:C27"/>
    <mergeCell ref="I27:J27"/>
    <mergeCell ref="M27:N27"/>
    <mergeCell ref="A28:C28"/>
    <mergeCell ref="I28:J28"/>
    <mergeCell ref="M28:N28"/>
    <mergeCell ref="A25:C25"/>
    <mergeCell ref="I25:J25"/>
    <mergeCell ref="M25:N25"/>
    <mergeCell ref="A26:C26"/>
    <mergeCell ref="I26:J26"/>
    <mergeCell ref="M26:N26"/>
    <mergeCell ref="A23:C23"/>
    <mergeCell ref="I23:J23"/>
    <mergeCell ref="M23:N23"/>
    <mergeCell ref="A24:C24"/>
    <mergeCell ref="I24:J24"/>
    <mergeCell ref="M24:N24"/>
    <mergeCell ref="F20:G20"/>
    <mergeCell ref="I20:J20"/>
    <mergeCell ref="K20:M20"/>
    <mergeCell ref="N20:O20"/>
    <mergeCell ref="A22:C22"/>
    <mergeCell ref="I22:J22"/>
    <mergeCell ref="M22:N22"/>
    <mergeCell ref="A17:C17"/>
    <mergeCell ref="I17:J17"/>
    <mergeCell ref="M17:N17"/>
    <mergeCell ref="A19:G19"/>
    <mergeCell ref="I19:J19"/>
    <mergeCell ref="K19:M19"/>
    <mergeCell ref="N19:O19"/>
    <mergeCell ref="A15:C15"/>
    <mergeCell ref="I15:J15"/>
    <mergeCell ref="M15:N15"/>
    <mergeCell ref="A16:C16"/>
    <mergeCell ref="I16:J16"/>
    <mergeCell ref="M16:N16"/>
    <mergeCell ref="A12:G12"/>
    <mergeCell ref="I12:J12"/>
    <mergeCell ref="K12:M12"/>
    <mergeCell ref="N12:O12"/>
    <mergeCell ref="F13:G13"/>
    <mergeCell ref="I13:J13"/>
    <mergeCell ref="K13:M13"/>
    <mergeCell ref="N13:O13"/>
    <mergeCell ref="A10:C10"/>
    <mergeCell ref="I10:J10"/>
    <mergeCell ref="M10:N10"/>
    <mergeCell ref="A7:C7"/>
    <mergeCell ref="I7:J7"/>
    <mergeCell ref="M7:N7"/>
    <mergeCell ref="A8:C8"/>
    <mergeCell ref="I8:J8"/>
    <mergeCell ref="M8:N8"/>
    <mergeCell ref="A1:O1"/>
    <mergeCell ref="C3:O3"/>
    <mergeCell ref="A5:C5"/>
    <mergeCell ref="I5:J5"/>
    <mergeCell ref="M5:N5"/>
    <mergeCell ref="A6:C6"/>
    <mergeCell ref="I6:J6"/>
    <mergeCell ref="M6:N6"/>
    <mergeCell ref="A9:C9"/>
    <mergeCell ref="I9:J9"/>
    <mergeCell ref="M9:N9"/>
  </mergeCells>
  <pageMargins left="0.3611111111111111" right="0.3611111111111111" top="0.3611111111111111" bottom="0.3611111111111111" header="0.3" footer="0.3"/>
  <pageSetup orientation="portrait" r:id="rId1"/>
  <rowBreaks count="2" manualBreakCount="2">
    <brk id="65" max="16383" man="1"/>
    <brk id="7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topLeftCell="A46" workbookViewId="0">
      <selection activeCell="U64" sqref="U64"/>
    </sheetView>
  </sheetViews>
  <sheetFormatPr defaultColWidth="9.109375" defaultRowHeight="14.4" x14ac:dyDescent="0.3"/>
  <cols>
    <col min="1" max="1" width="11.109375" style="3" customWidth="1"/>
    <col min="2" max="3" width="0.88671875" style="3" customWidth="1"/>
    <col min="4" max="4" width="12.5546875" style="3" customWidth="1"/>
    <col min="5" max="5" width="10.109375" style="3" customWidth="1"/>
    <col min="6" max="8" width="7.88671875" style="3" customWidth="1"/>
    <col min="9" max="9" width="4.44140625" style="3" customWidth="1"/>
    <col min="10" max="10" width="4" style="3" customWidth="1"/>
    <col min="11" max="12" width="7.33203125" style="3" customWidth="1"/>
    <col min="13" max="13" width="1.5546875" style="3" customWidth="1"/>
    <col min="14" max="14" width="7.88671875" style="3" customWidth="1"/>
    <col min="15" max="15" width="8.33203125" style="3" customWidth="1"/>
    <col min="16" max="256" width="9.109375" style="3"/>
    <col min="257" max="257" width="11.109375" style="3" customWidth="1"/>
    <col min="258" max="259" width="0.88671875" style="3" customWidth="1"/>
    <col min="260" max="260" width="12.5546875" style="3" customWidth="1"/>
    <col min="261" max="261" width="10.109375" style="3" customWidth="1"/>
    <col min="262" max="264" width="7.88671875" style="3" customWidth="1"/>
    <col min="265" max="265" width="4.44140625" style="3" customWidth="1"/>
    <col min="266" max="266" width="4" style="3" customWidth="1"/>
    <col min="267" max="268" width="7.33203125" style="3" customWidth="1"/>
    <col min="269" max="269" width="1.5546875" style="3" customWidth="1"/>
    <col min="270" max="270" width="7.88671875" style="3" customWidth="1"/>
    <col min="271" max="271" width="8.33203125" style="3" customWidth="1"/>
    <col min="272" max="512" width="9.109375" style="3"/>
    <col min="513" max="513" width="11.109375" style="3" customWidth="1"/>
    <col min="514" max="515" width="0.88671875" style="3" customWidth="1"/>
    <col min="516" max="516" width="12.5546875" style="3" customWidth="1"/>
    <col min="517" max="517" width="10.109375" style="3" customWidth="1"/>
    <col min="518" max="520" width="7.88671875" style="3" customWidth="1"/>
    <col min="521" max="521" width="4.44140625" style="3" customWidth="1"/>
    <col min="522" max="522" width="4" style="3" customWidth="1"/>
    <col min="523" max="524" width="7.33203125" style="3" customWidth="1"/>
    <col min="525" max="525" width="1.5546875" style="3" customWidth="1"/>
    <col min="526" max="526" width="7.88671875" style="3" customWidth="1"/>
    <col min="527" max="527" width="8.33203125" style="3" customWidth="1"/>
    <col min="528" max="768" width="9.109375" style="3"/>
    <col min="769" max="769" width="11.109375" style="3" customWidth="1"/>
    <col min="770" max="771" width="0.88671875" style="3" customWidth="1"/>
    <col min="772" max="772" width="12.5546875" style="3" customWidth="1"/>
    <col min="773" max="773" width="10.109375" style="3" customWidth="1"/>
    <col min="774" max="776" width="7.88671875" style="3" customWidth="1"/>
    <col min="777" max="777" width="4.44140625" style="3" customWidth="1"/>
    <col min="778" max="778" width="4" style="3" customWidth="1"/>
    <col min="779" max="780" width="7.33203125" style="3" customWidth="1"/>
    <col min="781" max="781" width="1.5546875" style="3" customWidth="1"/>
    <col min="782" max="782" width="7.88671875" style="3" customWidth="1"/>
    <col min="783" max="783" width="8.33203125" style="3" customWidth="1"/>
    <col min="784" max="1024" width="9.109375" style="3"/>
    <col min="1025" max="1025" width="11.109375" style="3" customWidth="1"/>
    <col min="1026" max="1027" width="0.88671875" style="3" customWidth="1"/>
    <col min="1028" max="1028" width="12.5546875" style="3" customWidth="1"/>
    <col min="1029" max="1029" width="10.109375" style="3" customWidth="1"/>
    <col min="1030" max="1032" width="7.88671875" style="3" customWidth="1"/>
    <col min="1033" max="1033" width="4.44140625" style="3" customWidth="1"/>
    <col min="1034" max="1034" width="4" style="3" customWidth="1"/>
    <col min="1035" max="1036" width="7.33203125" style="3" customWidth="1"/>
    <col min="1037" max="1037" width="1.5546875" style="3" customWidth="1"/>
    <col min="1038" max="1038" width="7.88671875" style="3" customWidth="1"/>
    <col min="1039" max="1039" width="8.33203125" style="3" customWidth="1"/>
    <col min="1040" max="1280" width="9.109375" style="3"/>
    <col min="1281" max="1281" width="11.109375" style="3" customWidth="1"/>
    <col min="1282" max="1283" width="0.88671875" style="3" customWidth="1"/>
    <col min="1284" max="1284" width="12.5546875" style="3" customWidth="1"/>
    <col min="1285" max="1285" width="10.109375" style="3" customWidth="1"/>
    <col min="1286" max="1288" width="7.88671875" style="3" customWidth="1"/>
    <col min="1289" max="1289" width="4.44140625" style="3" customWidth="1"/>
    <col min="1290" max="1290" width="4" style="3" customWidth="1"/>
    <col min="1291" max="1292" width="7.33203125" style="3" customWidth="1"/>
    <col min="1293" max="1293" width="1.5546875" style="3" customWidth="1"/>
    <col min="1294" max="1294" width="7.88671875" style="3" customWidth="1"/>
    <col min="1295" max="1295" width="8.33203125" style="3" customWidth="1"/>
    <col min="1296" max="1536" width="9.109375" style="3"/>
    <col min="1537" max="1537" width="11.109375" style="3" customWidth="1"/>
    <col min="1538" max="1539" width="0.88671875" style="3" customWidth="1"/>
    <col min="1540" max="1540" width="12.5546875" style="3" customWidth="1"/>
    <col min="1541" max="1541" width="10.109375" style="3" customWidth="1"/>
    <col min="1542" max="1544" width="7.88671875" style="3" customWidth="1"/>
    <col min="1545" max="1545" width="4.44140625" style="3" customWidth="1"/>
    <col min="1546" max="1546" width="4" style="3" customWidth="1"/>
    <col min="1547" max="1548" width="7.33203125" style="3" customWidth="1"/>
    <col min="1549" max="1549" width="1.5546875" style="3" customWidth="1"/>
    <col min="1550" max="1550" width="7.88671875" style="3" customWidth="1"/>
    <col min="1551" max="1551" width="8.33203125" style="3" customWidth="1"/>
    <col min="1552" max="1792" width="9.109375" style="3"/>
    <col min="1793" max="1793" width="11.109375" style="3" customWidth="1"/>
    <col min="1794" max="1795" width="0.88671875" style="3" customWidth="1"/>
    <col min="1796" max="1796" width="12.5546875" style="3" customWidth="1"/>
    <col min="1797" max="1797" width="10.109375" style="3" customWidth="1"/>
    <col min="1798" max="1800" width="7.88671875" style="3" customWidth="1"/>
    <col min="1801" max="1801" width="4.44140625" style="3" customWidth="1"/>
    <col min="1802" max="1802" width="4" style="3" customWidth="1"/>
    <col min="1803" max="1804" width="7.33203125" style="3" customWidth="1"/>
    <col min="1805" max="1805" width="1.5546875" style="3" customWidth="1"/>
    <col min="1806" max="1806" width="7.88671875" style="3" customWidth="1"/>
    <col min="1807" max="1807" width="8.33203125" style="3" customWidth="1"/>
    <col min="1808" max="2048" width="9.109375" style="3"/>
    <col min="2049" max="2049" width="11.109375" style="3" customWidth="1"/>
    <col min="2050" max="2051" width="0.88671875" style="3" customWidth="1"/>
    <col min="2052" max="2052" width="12.5546875" style="3" customWidth="1"/>
    <col min="2053" max="2053" width="10.109375" style="3" customWidth="1"/>
    <col min="2054" max="2056" width="7.88671875" style="3" customWidth="1"/>
    <col min="2057" max="2057" width="4.44140625" style="3" customWidth="1"/>
    <col min="2058" max="2058" width="4" style="3" customWidth="1"/>
    <col min="2059" max="2060" width="7.33203125" style="3" customWidth="1"/>
    <col min="2061" max="2061" width="1.5546875" style="3" customWidth="1"/>
    <col min="2062" max="2062" width="7.88671875" style="3" customWidth="1"/>
    <col min="2063" max="2063" width="8.33203125" style="3" customWidth="1"/>
    <col min="2064" max="2304" width="9.109375" style="3"/>
    <col min="2305" max="2305" width="11.109375" style="3" customWidth="1"/>
    <col min="2306" max="2307" width="0.88671875" style="3" customWidth="1"/>
    <col min="2308" max="2308" width="12.5546875" style="3" customWidth="1"/>
    <col min="2309" max="2309" width="10.109375" style="3" customWidth="1"/>
    <col min="2310" max="2312" width="7.88671875" style="3" customWidth="1"/>
    <col min="2313" max="2313" width="4.44140625" style="3" customWidth="1"/>
    <col min="2314" max="2314" width="4" style="3" customWidth="1"/>
    <col min="2315" max="2316" width="7.33203125" style="3" customWidth="1"/>
    <col min="2317" max="2317" width="1.5546875" style="3" customWidth="1"/>
    <col min="2318" max="2318" width="7.88671875" style="3" customWidth="1"/>
    <col min="2319" max="2319" width="8.33203125" style="3" customWidth="1"/>
    <col min="2320" max="2560" width="9.109375" style="3"/>
    <col min="2561" max="2561" width="11.109375" style="3" customWidth="1"/>
    <col min="2562" max="2563" width="0.88671875" style="3" customWidth="1"/>
    <col min="2564" max="2564" width="12.5546875" style="3" customWidth="1"/>
    <col min="2565" max="2565" width="10.109375" style="3" customWidth="1"/>
    <col min="2566" max="2568" width="7.88671875" style="3" customWidth="1"/>
    <col min="2569" max="2569" width="4.44140625" style="3" customWidth="1"/>
    <col min="2570" max="2570" width="4" style="3" customWidth="1"/>
    <col min="2571" max="2572" width="7.33203125" style="3" customWidth="1"/>
    <col min="2573" max="2573" width="1.5546875" style="3" customWidth="1"/>
    <col min="2574" max="2574" width="7.88671875" style="3" customWidth="1"/>
    <col min="2575" max="2575" width="8.33203125" style="3" customWidth="1"/>
    <col min="2576" max="2816" width="9.109375" style="3"/>
    <col min="2817" max="2817" width="11.109375" style="3" customWidth="1"/>
    <col min="2818" max="2819" width="0.88671875" style="3" customWidth="1"/>
    <col min="2820" max="2820" width="12.5546875" style="3" customWidth="1"/>
    <col min="2821" max="2821" width="10.109375" style="3" customWidth="1"/>
    <col min="2822" max="2824" width="7.88671875" style="3" customWidth="1"/>
    <col min="2825" max="2825" width="4.44140625" style="3" customWidth="1"/>
    <col min="2826" max="2826" width="4" style="3" customWidth="1"/>
    <col min="2827" max="2828" width="7.33203125" style="3" customWidth="1"/>
    <col min="2829" max="2829" width="1.5546875" style="3" customWidth="1"/>
    <col min="2830" max="2830" width="7.88671875" style="3" customWidth="1"/>
    <col min="2831" max="2831" width="8.33203125" style="3" customWidth="1"/>
    <col min="2832" max="3072" width="9.109375" style="3"/>
    <col min="3073" max="3073" width="11.109375" style="3" customWidth="1"/>
    <col min="3074" max="3075" width="0.88671875" style="3" customWidth="1"/>
    <col min="3076" max="3076" width="12.5546875" style="3" customWidth="1"/>
    <col min="3077" max="3077" width="10.109375" style="3" customWidth="1"/>
    <col min="3078" max="3080" width="7.88671875" style="3" customWidth="1"/>
    <col min="3081" max="3081" width="4.44140625" style="3" customWidth="1"/>
    <col min="3082" max="3082" width="4" style="3" customWidth="1"/>
    <col min="3083" max="3084" width="7.33203125" style="3" customWidth="1"/>
    <col min="3085" max="3085" width="1.5546875" style="3" customWidth="1"/>
    <col min="3086" max="3086" width="7.88671875" style="3" customWidth="1"/>
    <col min="3087" max="3087" width="8.33203125" style="3" customWidth="1"/>
    <col min="3088" max="3328" width="9.109375" style="3"/>
    <col min="3329" max="3329" width="11.109375" style="3" customWidth="1"/>
    <col min="3330" max="3331" width="0.88671875" style="3" customWidth="1"/>
    <col min="3332" max="3332" width="12.5546875" style="3" customWidth="1"/>
    <col min="3333" max="3333" width="10.109375" style="3" customWidth="1"/>
    <col min="3334" max="3336" width="7.88671875" style="3" customWidth="1"/>
    <col min="3337" max="3337" width="4.44140625" style="3" customWidth="1"/>
    <col min="3338" max="3338" width="4" style="3" customWidth="1"/>
    <col min="3339" max="3340" width="7.33203125" style="3" customWidth="1"/>
    <col min="3341" max="3341" width="1.5546875" style="3" customWidth="1"/>
    <col min="3342" max="3342" width="7.88671875" style="3" customWidth="1"/>
    <col min="3343" max="3343" width="8.33203125" style="3" customWidth="1"/>
    <col min="3344" max="3584" width="9.109375" style="3"/>
    <col min="3585" max="3585" width="11.109375" style="3" customWidth="1"/>
    <col min="3586" max="3587" width="0.88671875" style="3" customWidth="1"/>
    <col min="3588" max="3588" width="12.5546875" style="3" customWidth="1"/>
    <col min="3589" max="3589" width="10.109375" style="3" customWidth="1"/>
    <col min="3590" max="3592" width="7.88671875" style="3" customWidth="1"/>
    <col min="3593" max="3593" width="4.44140625" style="3" customWidth="1"/>
    <col min="3594" max="3594" width="4" style="3" customWidth="1"/>
    <col min="3595" max="3596" width="7.33203125" style="3" customWidth="1"/>
    <col min="3597" max="3597" width="1.5546875" style="3" customWidth="1"/>
    <col min="3598" max="3598" width="7.88671875" style="3" customWidth="1"/>
    <col min="3599" max="3599" width="8.33203125" style="3" customWidth="1"/>
    <col min="3600" max="3840" width="9.109375" style="3"/>
    <col min="3841" max="3841" width="11.109375" style="3" customWidth="1"/>
    <col min="3842" max="3843" width="0.88671875" style="3" customWidth="1"/>
    <col min="3844" max="3844" width="12.5546875" style="3" customWidth="1"/>
    <col min="3845" max="3845" width="10.109375" style="3" customWidth="1"/>
    <col min="3846" max="3848" width="7.88671875" style="3" customWidth="1"/>
    <col min="3849" max="3849" width="4.44140625" style="3" customWidth="1"/>
    <col min="3850" max="3850" width="4" style="3" customWidth="1"/>
    <col min="3851" max="3852" width="7.33203125" style="3" customWidth="1"/>
    <col min="3853" max="3853" width="1.5546875" style="3" customWidth="1"/>
    <col min="3854" max="3854" width="7.88671875" style="3" customWidth="1"/>
    <col min="3855" max="3855" width="8.33203125" style="3" customWidth="1"/>
    <col min="3856" max="4096" width="9.109375" style="3"/>
    <col min="4097" max="4097" width="11.109375" style="3" customWidth="1"/>
    <col min="4098" max="4099" width="0.88671875" style="3" customWidth="1"/>
    <col min="4100" max="4100" width="12.5546875" style="3" customWidth="1"/>
    <col min="4101" max="4101" width="10.109375" style="3" customWidth="1"/>
    <col min="4102" max="4104" width="7.88671875" style="3" customWidth="1"/>
    <col min="4105" max="4105" width="4.44140625" style="3" customWidth="1"/>
    <col min="4106" max="4106" width="4" style="3" customWidth="1"/>
    <col min="4107" max="4108" width="7.33203125" style="3" customWidth="1"/>
    <col min="4109" max="4109" width="1.5546875" style="3" customWidth="1"/>
    <col min="4110" max="4110" width="7.88671875" style="3" customWidth="1"/>
    <col min="4111" max="4111" width="8.33203125" style="3" customWidth="1"/>
    <col min="4112" max="4352" width="9.109375" style="3"/>
    <col min="4353" max="4353" width="11.109375" style="3" customWidth="1"/>
    <col min="4354" max="4355" width="0.88671875" style="3" customWidth="1"/>
    <col min="4356" max="4356" width="12.5546875" style="3" customWidth="1"/>
    <col min="4357" max="4357" width="10.109375" style="3" customWidth="1"/>
    <col min="4358" max="4360" width="7.88671875" style="3" customWidth="1"/>
    <col min="4361" max="4361" width="4.44140625" style="3" customWidth="1"/>
    <col min="4362" max="4362" width="4" style="3" customWidth="1"/>
    <col min="4363" max="4364" width="7.33203125" style="3" customWidth="1"/>
    <col min="4365" max="4365" width="1.5546875" style="3" customWidth="1"/>
    <col min="4366" max="4366" width="7.88671875" style="3" customWidth="1"/>
    <col min="4367" max="4367" width="8.33203125" style="3" customWidth="1"/>
    <col min="4368" max="4608" width="9.109375" style="3"/>
    <col min="4609" max="4609" width="11.109375" style="3" customWidth="1"/>
    <col min="4610" max="4611" width="0.88671875" style="3" customWidth="1"/>
    <col min="4612" max="4612" width="12.5546875" style="3" customWidth="1"/>
    <col min="4613" max="4613" width="10.109375" style="3" customWidth="1"/>
    <col min="4614" max="4616" width="7.88671875" style="3" customWidth="1"/>
    <col min="4617" max="4617" width="4.44140625" style="3" customWidth="1"/>
    <col min="4618" max="4618" width="4" style="3" customWidth="1"/>
    <col min="4619" max="4620" width="7.33203125" style="3" customWidth="1"/>
    <col min="4621" max="4621" width="1.5546875" style="3" customWidth="1"/>
    <col min="4622" max="4622" width="7.88671875" style="3" customWidth="1"/>
    <col min="4623" max="4623" width="8.33203125" style="3" customWidth="1"/>
    <col min="4624" max="4864" width="9.109375" style="3"/>
    <col min="4865" max="4865" width="11.109375" style="3" customWidth="1"/>
    <col min="4866" max="4867" width="0.88671875" style="3" customWidth="1"/>
    <col min="4868" max="4868" width="12.5546875" style="3" customWidth="1"/>
    <col min="4869" max="4869" width="10.109375" style="3" customWidth="1"/>
    <col min="4870" max="4872" width="7.88671875" style="3" customWidth="1"/>
    <col min="4873" max="4873" width="4.44140625" style="3" customWidth="1"/>
    <col min="4874" max="4874" width="4" style="3" customWidth="1"/>
    <col min="4875" max="4876" width="7.33203125" style="3" customWidth="1"/>
    <col min="4877" max="4877" width="1.5546875" style="3" customWidth="1"/>
    <col min="4878" max="4878" width="7.88671875" style="3" customWidth="1"/>
    <col min="4879" max="4879" width="8.33203125" style="3" customWidth="1"/>
    <col min="4880" max="5120" width="9.109375" style="3"/>
    <col min="5121" max="5121" width="11.109375" style="3" customWidth="1"/>
    <col min="5122" max="5123" width="0.88671875" style="3" customWidth="1"/>
    <col min="5124" max="5124" width="12.5546875" style="3" customWidth="1"/>
    <col min="5125" max="5125" width="10.109375" style="3" customWidth="1"/>
    <col min="5126" max="5128" width="7.88671875" style="3" customWidth="1"/>
    <col min="5129" max="5129" width="4.44140625" style="3" customWidth="1"/>
    <col min="5130" max="5130" width="4" style="3" customWidth="1"/>
    <col min="5131" max="5132" width="7.33203125" style="3" customWidth="1"/>
    <col min="5133" max="5133" width="1.5546875" style="3" customWidth="1"/>
    <col min="5134" max="5134" width="7.88671875" style="3" customWidth="1"/>
    <col min="5135" max="5135" width="8.33203125" style="3" customWidth="1"/>
    <col min="5136" max="5376" width="9.109375" style="3"/>
    <col min="5377" max="5377" width="11.109375" style="3" customWidth="1"/>
    <col min="5378" max="5379" width="0.88671875" style="3" customWidth="1"/>
    <col min="5380" max="5380" width="12.5546875" style="3" customWidth="1"/>
    <col min="5381" max="5381" width="10.109375" style="3" customWidth="1"/>
    <col min="5382" max="5384" width="7.88671875" style="3" customWidth="1"/>
    <col min="5385" max="5385" width="4.44140625" style="3" customWidth="1"/>
    <col min="5386" max="5386" width="4" style="3" customWidth="1"/>
    <col min="5387" max="5388" width="7.33203125" style="3" customWidth="1"/>
    <col min="5389" max="5389" width="1.5546875" style="3" customWidth="1"/>
    <col min="5390" max="5390" width="7.88671875" style="3" customWidth="1"/>
    <col min="5391" max="5391" width="8.33203125" style="3" customWidth="1"/>
    <col min="5392" max="5632" width="9.109375" style="3"/>
    <col min="5633" max="5633" width="11.109375" style="3" customWidth="1"/>
    <col min="5634" max="5635" width="0.88671875" style="3" customWidth="1"/>
    <col min="5636" max="5636" width="12.5546875" style="3" customWidth="1"/>
    <col min="5637" max="5637" width="10.109375" style="3" customWidth="1"/>
    <col min="5638" max="5640" width="7.88671875" style="3" customWidth="1"/>
    <col min="5641" max="5641" width="4.44140625" style="3" customWidth="1"/>
    <col min="5642" max="5642" width="4" style="3" customWidth="1"/>
    <col min="5643" max="5644" width="7.33203125" style="3" customWidth="1"/>
    <col min="5645" max="5645" width="1.5546875" style="3" customWidth="1"/>
    <col min="5646" max="5646" width="7.88671875" style="3" customWidth="1"/>
    <col min="5647" max="5647" width="8.33203125" style="3" customWidth="1"/>
    <col min="5648" max="5888" width="9.109375" style="3"/>
    <col min="5889" max="5889" width="11.109375" style="3" customWidth="1"/>
    <col min="5890" max="5891" width="0.88671875" style="3" customWidth="1"/>
    <col min="5892" max="5892" width="12.5546875" style="3" customWidth="1"/>
    <col min="5893" max="5893" width="10.109375" style="3" customWidth="1"/>
    <col min="5894" max="5896" width="7.88671875" style="3" customWidth="1"/>
    <col min="5897" max="5897" width="4.44140625" style="3" customWidth="1"/>
    <col min="5898" max="5898" width="4" style="3" customWidth="1"/>
    <col min="5899" max="5900" width="7.33203125" style="3" customWidth="1"/>
    <col min="5901" max="5901" width="1.5546875" style="3" customWidth="1"/>
    <col min="5902" max="5902" width="7.88671875" style="3" customWidth="1"/>
    <col min="5903" max="5903" width="8.33203125" style="3" customWidth="1"/>
    <col min="5904" max="6144" width="9.109375" style="3"/>
    <col min="6145" max="6145" width="11.109375" style="3" customWidth="1"/>
    <col min="6146" max="6147" width="0.88671875" style="3" customWidth="1"/>
    <col min="6148" max="6148" width="12.5546875" style="3" customWidth="1"/>
    <col min="6149" max="6149" width="10.109375" style="3" customWidth="1"/>
    <col min="6150" max="6152" width="7.88671875" style="3" customWidth="1"/>
    <col min="6153" max="6153" width="4.44140625" style="3" customWidth="1"/>
    <col min="6154" max="6154" width="4" style="3" customWidth="1"/>
    <col min="6155" max="6156" width="7.33203125" style="3" customWidth="1"/>
    <col min="6157" max="6157" width="1.5546875" style="3" customWidth="1"/>
    <col min="6158" max="6158" width="7.88671875" style="3" customWidth="1"/>
    <col min="6159" max="6159" width="8.33203125" style="3" customWidth="1"/>
    <col min="6160" max="6400" width="9.109375" style="3"/>
    <col min="6401" max="6401" width="11.109375" style="3" customWidth="1"/>
    <col min="6402" max="6403" width="0.88671875" style="3" customWidth="1"/>
    <col min="6404" max="6404" width="12.5546875" style="3" customWidth="1"/>
    <col min="6405" max="6405" width="10.109375" style="3" customWidth="1"/>
    <col min="6406" max="6408" width="7.88671875" style="3" customWidth="1"/>
    <col min="6409" max="6409" width="4.44140625" style="3" customWidth="1"/>
    <col min="6410" max="6410" width="4" style="3" customWidth="1"/>
    <col min="6411" max="6412" width="7.33203125" style="3" customWidth="1"/>
    <col min="6413" max="6413" width="1.5546875" style="3" customWidth="1"/>
    <col min="6414" max="6414" width="7.88671875" style="3" customWidth="1"/>
    <col min="6415" max="6415" width="8.33203125" style="3" customWidth="1"/>
    <col min="6416" max="6656" width="9.109375" style="3"/>
    <col min="6657" max="6657" width="11.109375" style="3" customWidth="1"/>
    <col min="6658" max="6659" width="0.88671875" style="3" customWidth="1"/>
    <col min="6660" max="6660" width="12.5546875" style="3" customWidth="1"/>
    <col min="6661" max="6661" width="10.109375" style="3" customWidth="1"/>
    <col min="6662" max="6664" width="7.88671875" style="3" customWidth="1"/>
    <col min="6665" max="6665" width="4.44140625" style="3" customWidth="1"/>
    <col min="6666" max="6666" width="4" style="3" customWidth="1"/>
    <col min="6667" max="6668" width="7.33203125" style="3" customWidth="1"/>
    <col min="6669" max="6669" width="1.5546875" style="3" customWidth="1"/>
    <col min="6670" max="6670" width="7.88671875" style="3" customWidth="1"/>
    <col min="6671" max="6671" width="8.33203125" style="3" customWidth="1"/>
    <col min="6672" max="6912" width="9.109375" style="3"/>
    <col min="6913" max="6913" width="11.109375" style="3" customWidth="1"/>
    <col min="6914" max="6915" width="0.88671875" style="3" customWidth="1"/>
    <col min="6916" max="6916" width="12.5546875" style="3" customWidth="1"/>
    <col min="6917" max="6917" width="10.109375" style="3" customWidth="1"/>
    <col min="6918" max="6920" width="7.88671875" style="3" customWidth="1"/>
    <col min="6921" max="6921" width="4.44140625" style="3" customWidth="1"/>
    <col min="6922" max="6922" width="4" style="3" customWidth="1"/>
    <col min="6923" max="6924" width="7.33203125" style="3" customWidth="1"/>
    <col min="6925" max="6925" width="1.5546875" style="3" customWidth="1"/>
    <col min="6926" max="6926" width="7.88671875" style="3" customWidth="1"/>
    <col min="6927" max="6927" width="8.33203125" style="3" customWidth="1"/>
    <col min="6928" max="7168" width="9.109375" style="3"/>
    <col min="7169" max="7169" width="11.109375" style="3" customWidth="1"/>
    <col min="7170" max="7171" width="0.88671875" style="3" customWidth="1"/>
    <col min="7172" max="7172" width="12.5546875" style="3" customWidth="1"/>
    <col min="7173" max="7173" width="10.109375" style="3" customWidth="1"/>
    <col min="7174" max="7176" width="7.88671875" style="3" customWidth="1"/>
    <col min="7177" max="7177" width="4.44140625" style="3" customWidth="1"/>
    <col min="7178" max="7178" width="4" style="3" customWidth="1"/>
    <col min="7179" max="7180" width="7.33203125" style="3" customWidth="1"/>
    <col min="7181" max="7181" width="1.5546875" style="3" customWidth="1"/>
    <col min="7182" max="7182" width="7.88671875" style="3" customWidth="1"/>
    <col min="7183" max="7183" width="8.33203125" style="3" customWidth="1"/>
    <col min="7184" max="7424" width="9.109375" style="3"/>
    <col min="7425" max="7425" width="11.109375" style="3" customWidth="1"/>
    <col min="7426" max="7427" width="0.88671875" style="3" customWidth="1"/>
    <col min="7428" max="7428" width="12.5546875" style="3" customWidth="1"/>
    <col min="7429" max="7429" width="10.109375" style="3" customWidth="1"/>
    <col min="7430" max="7432" width="7.88671875" style="3" customWidth="1"/>
    <col min="7433" max="7433" width="4.44140625" style="3" customWidth="1"/>
    <col min="7434" max="7434" width="4" style="3" customWidth="1"/>
    <col min="7435" max="7436" width="7.33203125" style="3" customWidth="1"/>
    <col min="7437" max="7437" width="1.5546875" style="3" customWidth="1"/>
    <col min="7438" max="7438" width="7.88671875" style="3" customWidth="1"/>
    <col min="7439" max="7439" width="8.33203125" style="3" customWidth="1"/>
    <col min="7440" max="7680" width="9.109375" style="3"/>
    <col min="7681" max="7681" width="11.109375" style="3" customWidth="1"/>
    <col min="7682" max="7683" width="0.88671875" style="3" customWidth="1"/>
    <col min="7684" max="7684" width="12.5546875" style="3" customWidth="1"/>
    <col min="7685" max="7685" width="10.109375" style="3" customWidth="1"/>
    <col min="7686" max="7688" width="7.88671875" style="3" customWidth="1"/>
    <col min="7689" max="7689" width="4.44140625" style="3" customWidth="1"/>
    <col min="7690" max="7690" width="4" style="3" customWidth="1"/>
    <col min="7691" max="7692" width="7.33203125" style="3" customWidth="1"/>
    <col min="7693" max="7693" width="1.5546875" style="3" customWidth="1"/>
    <col min="7694" max="7694" width="7.88671875" style="3" customWidth="1"/>
    <col min="7695" max="7695" width="8.33203125" style="3" customWidth="1"/>
    <col min="7696" max="7936" width="9.109375" style="3"/>
    <col min="7937" max="7937" width="11.109375" style="3" customWidth="1"/>
    <col min="7938" max="7939" width="0.88671875" style="3" customWidth="1"/>
    <col min="7940" max="7940" width="12.5546875" style="3" customWidth="1"/>
    <col min="7941" max="7941" width="10.109375" style="3" customWidth="1"/>
    <col min="7942" max="7944" width="7.88671875" style="3" customWidth="1"/>
    <col min="7945" max="7945" width="4.44140625" style="3" customWidth="1"/>
    <col min="7946" max="7946" width="4" style="3" customWidth="1"/>
    <col min="7947" max="7948" width="7.33203125" style="3" customWidth="1"/>
    <col min="7949" max="7949" width="1.5546875" style="3" customWidth="1"/>
    <col min="7950" max="7950" width="7.88671875" style="3" customWidth="1"/>
    <col min="7951" max="7951" width="8.33203125" style="3" customWidth="1"/>
    <col min="7952" max="8192" width="9.109375" style="3"/>
    <col min="8193" max="8193" width="11.109375" style="3" customWidth="1"/>
    <col min="8194" max="8195" width="0.88671875" style="3" customWidth="1"/>
    <col min="8196" max="8196" width="12.5546875" style="3" customWidth="1"/>
    <col min="8197" max="8197" width="10.109375" style="3" customWidth="1"/>
    <col min="8198" max="8200" width="7.88671875" style="3" customWidth="1"/>
    <col min="8201" max="8201" width="4.44140625" style="3" customWidth="1"/>
    <col min="8202" max="8202" width="4" style="3" customWidth="1"/>
    <col min="8203" max="8204" width="7.33203125" style="3" customWidth="1"/>
    <col min="8205" max="8205" width="1.5546875" style="3" customWidth="1"/>
    <col min="8206" max="8206" width="7.88671875" style="3" customWidth="1"/>
    <col min="8207" max="8207" width="8.33203125" style="3" customWidth="1"/>
    <col min="8208" max="8448" width="9.109375" style="3"/>
    <col min="8449" max="8449" width="11.109375" style="3" customWidth="1"/>
    <col min="8450" max="8451" width="0.88671875" style="3" customWidth="1"/>
    <col min="8452" max="8452" width="12.5546875" style="3" customWidth="1"/>
    <col min="8453" max="8453" width="10.109375" style="3" customWidth="1"/>
    <col min="8454" max="8456" width="7.88671875" style="3" customWidth="1"/>
    <col min="8457" max="8457" width="4.44140625" style="3" customWidth="1"/>
    <col min="8458" max="8458" width="4" style="3" customWidth="1"/>
    <col min="8459" max="8460" width="7.33203125" style="3" customWidth="1"/>
    <col min="8461" max="8461" width="1.5546875" style="3" customWidth="1"/>
    <col min="8462" max="8462" width="7.88671875" style="3" customWidth="1"/>
    <col min="8463" max="8463" width="8.33203125" style="3" customWidth="1"/>
    <col min="8464" max="8704" width="9.109375" style="3"/>
    <col min="8705" max="8705" width="11.109375" style="3" customWidth="1"/>
    <col min="8706" max="8707" width="0.88671875" style="3" customWidth="1"/>
    <col min="8708" max="8708" width="12.5546875" style="3" customWidth="1"/>
    <col min="8709" max="8709" width="10.109375" style="3" customWidth="1"/>
    <col min="8710" max="8712" width="7.88671875" style="3" customWidth="1"/>
    <col min="8713" max="8713" width="4.44140625" style="3" customWidth="1"/>
    <col min="8714" max="8714" width="4" style="3" customWidth="1"/>
    <col min="8715" max="8716" width="7.33203125" style="3" customWidth="1"/>
    <col min="8717" max="8717" width="1.5546875" style="3" customWidth="1"/>
    <col min="8718" max="8718" width="7.88671875" style="3" customWidth="1"/>
    <col min="8719" max="8719" width="8.33203125" style="3" customWidth="1"/>
    <col min="8720" max="8960" width="9.109375" style="3"/>
    <col min="8961" max="8961" width="11.109375" style="3" customWidth="1"/>
    <col min="8962" max="8963" width="0.88671875" style="3" customWidth="1"/>
    <col min="8964" max="8964" width="12.5546875" style="3" customWidth="1"/>
    <col min="8965" max="8965" width="10.109375" style="3" customWidth="1"/>
    <col min="8966" max="8968" width="7.88671875" style="3" customWidth="1"/>
    <col min="8969" max="8969" width="4.44140625" style="3" customWidth="1"/>
    <col min="8970" max="8970" width="4" style="3" customWidth="1"/>
    <col min="8971" max="8972" width="7.33203125" style="3" customWidth="1"/>
    <col min="8973" max="8973" width="1.5546875" style="3" customWidth="1"/>
    <col min="8974" max="8974" width="7.88671875" style="3" customWidth="1"/>
    <col min="8975" max="8975" width="8.33203125" style="3" customWidth="1"/>
    <col min="8976" max="9216" width="9.109375" style="3"/>
    <col min="9217" max="9217" width="11.109375" style="3" customWidth="1"/>
    <col min="9218" max="9219" width="0.88671875" style="3" customWidth="1"/>
    <col min="9220" max="9220" width="12.5546875" style="3" customWidth="1"/>
    <col min="9221" max="9221" width="10.109375" style="3" customWidth="1"/>
    <col min="9222" max="9224" width="7.88671875" style="3" customWidth="1"/>
    <col min="9225" max="9225" width="4.44140625" style="3" customWidth="1"/>
    <col min="9226" max="9226" width="4" style="3" customWidth="1"/>
    <col min="9227" max="9228" width="7.33203125" style="3" customWidth="1"/>
    <col min="9229" max="9229" width="1.5546875" style="3" customWidth="1"/>
    <col min="9230" max="9230" width="7.88671875" style="3" customWidth="1"/>
    <col min="9231" max="9231" width="8.33203125" style="3" customWidth="1"/>
    <col min="9232" max="9472" width="9.109375" style="3"/>
    <col min="9473" max="9473" width="11.109375" style="3" customWidth="1"/>
    <col min="9474" max="9475" width="0.88671875" style="3" customWidth="1"/>
    <col min="9476" max="9476" width="12.5546875" style="3" customWidth="1"/>
    <col min="9477" max="9477" width="10.109375" style="3" customWidth="1"/>
    <col min="9478" max="9480" width="7.88671875" style="3" customWidth="1"/>
    <col min="9481" max="9481" width="4.44140625" style="3" customWidth="1"/>
    <col min="9482" max="9482" width="4" style="3" customWidth="1"/>
    <col min="9483" max="9484" width="7.33203125" style="3" customWidth="1"/>
    <col min="9485" max="9485" width="1.5546875" style="3" customWidth="1"/>
    <col min="9486" max="9486" width="7.88671875" style="3" customWidth="1"/>
    <col min="9487" max="9487" width="8.33203125" style="3" customWidth="1"/>
    <col min="9488" max="9728" width="9.109375" style="3"/>
    <col min="9729" max="9729" width="11.109375" style="3" customWidth="1"/>
    <col min="9730" max="9731" width="0.88671875" style="3" customWidth="1"/>
    <col min="9732" max="9732" width="12.5546875" style="3" customWidth="1"/>
    <col min="9733" max="9733" width="10.109375" style="3" customWidth="1"/>
    <col min="9734" max="9736" width="7.88671875" style="3" customWidth="1"/>
    <col min="9737" max="9737" width="4.44140625" style="3" customWidth="1"/>
    <col min="9738" max="9738" width="4" style="3" customWidth="1"/>
    <col min="9739" max="9740" width="7.33203125" style="3" customWidth="1"/>
    <col min="9741" max="9741" width="1.5546875" style="3" customWidth="1"/>
    <col min="9742" max="9742" width="7.88671875" style="3" customWidth="1"/>
    <col min="9743" max="9743" width="8.33203125" style="3" customWidth="1"/>
    <col min="9744" max="9984" width="9.109375" style="3"/>
    <col min="9985" max="9985" width="11.109375" style="3" customWidth="1"/>
    <col min="9986" max="9987" width="0.88671875" style="3" customWidth="1"/>
    <col min="9988" max="9988" width="12.5546875" style="3" customWidth="1"/>
    <col min="9989" max="9989" width="10.109375" style="3" customWidth="1"/>
    <col min="9990" max="9992" width="7.88671875" style="3" customWidth="1"/>
    <col min="9993" max="9993" width="4.44140625" style="3" customWidth="1"/>
    <col min="9994" max="9994" width="4" style="3" customWidth="1"/>
    <col min="9995" max="9996" width="7.33203125" style="3" customWidth="1"/>
    <col min="9997" max="9997" width="1.5546875" style="3" customWidth="1"/>
    <col min="9998" max="9998" width="7.88671875" style="3" customWidth="1"/>
    <col min="9999" max="9999" width="8.33203125" style="3" customWidth="1"/>
    <col min="10000" max="10240" width="9.109375" style="3"/>
    <col min="10241" max="10241" width="11.109375" style="3" customWidth="1"/>
    <col min="10242" max="10243" width="0.88671875" style="3" customWidth="1"/>
    <col min="10244" max="10244" width="12.5546875" style="3" customWidth="1"/>
    <col min="10245" max="10245" width="10.109375" style="3" customWidth="1"/>
    <col min="10246" max="10248" width="7.88671875" style="3" customWidth="1"/>
    <col min="10249" max="10249" width="4.44140625" style="3" customWidth="1"/>
    <col min="10250" max="10250" width="4" style="3" customWidth="1"/>
    <col min="10251" max="10252" width="7.33203125" style="3" customWidth="1"/>
    <col min="10253" max="10253" width="1.5546875" style="3" customWidth="1"/>
    <col min="10254" max="10254" width="7.88671875" style="3" customWidth="1"/>
    <col min="10255" max="10255" width="8.33203125" style="3" customWidth="1"/>
    <col min="10256" max="10496" width="9.109375" style="3"/>
    <col min="10497" max="10497" width="11.109375" style="3" customWidth="1"/>
    <col min="10498" max="10499" width="0.88671875" style="3" customWidth="1"/>
    <col min="10500" max="10500" width="12.5546875" style="3" customWidth="1"/>
    <col min="10501" max="10501" width="10.109375" style="3" customWidth="1"/>
    <col min="10502" max="10504" width="7.88671875" style="3" customWidth="1"/>
    <col min="10505" max="10505" width="4.44140625" style="3" customWidth="1"/>
    <col min="10506" max="10506" width="4" style="3" customWidth="1"/>
    <col min="10507" max="10508" width="7.33203125" style="3" customWidth="1"/>
    <col min="10509" max="10509" width="1.5546875" style="3" customWidth="1"/>
    <col min="10510" max="10510" width="7.88671875" style="3" customWidth="1"/>
    <col min="10511" max="10511" width="8.33203125" style="3" customWidth="1"/>
    <col min="10512" max="10752" width="9.109375" style="3"/>
    <col min="10753" max="10753" width="11.109375" style="3" customWidth="1"/>
    <col min="10754" max="10755" width="0.88671875" style="3" customWidth="1"/>
    <col min="10756" max="10756" width="12.5546875" style="3" customWidth="1"/>
    <col min="10757" max="10757" width="10.109375" style="3" customWidth="1"/>
    <col min="10758" max="10760" width="7.88671875" style="3" customWidth="1"/>
    <col min="10761" max="10761" width="4.44140625" style="3" customWidth="1"/>
    <col min="10762" max="10762" width="4" style="3" customWidth="1"/>
    <col min="10763" max="10764" width="7.33203125" style="3" customWidth="1"/>
    <col min="10765" max="10765" width="1.5546875" style="3" customWidth="1"/>
    <col min="10766" max="10766" width="7.88671875" style="3" customWidth="1"/>
    <col min="10767" max="10767" width="8.33203125" style="3" customWidth="1"/>
    <col min="10768" max="11008" width="9.109375" style="3"/>
    <col min="11009" max="11009" width="11.109375" style="3" customWidth="1"/>
    <col min="11010" max="11011" width="0.88671875" style="3" customWidth="1"/>
    <col min="11012" max="11012" width="12.5546875" style="3" customWidth="1"/>
    <col min="11013" max="11013" width="10.109375" style="3" customWidth="1"/>
    <col min="11014" max="11016" width="7.88671875" style="3" customWidth="1"/>
    <col min="11017" max="11017" width="4.44140625" style="3" customWidth="1"/>
    <col min="11018" max="11018" width="4" style="3" customWidth="1"/>
    <col min="11019" max="11020" width="7.33203125" style="3" customWidth="1"/>
    <col min="11021" max="11021" width="1.5546875" style="3" customWidth="1"/>
    <col min="11022" max="11022" width="7.88671875" style="3" customWidth="1"/>
    <col min="11023" max="11023" width="8.33203125" style="3" customWidth="1"/>
    <col min="11024" max="11264" width="9.109375" style="3"/>
    <col min="11265" max="11265" width="11.109375" style="3" customWidth="1"/>
    <col min="11266" max="11267" width="0.88671875" style="3" customWidth="1"/>
    <col min="11268" max="11268" width="12.5546875" style="3" customWidth="1"/>
    <col min="11269" max="11269" width="10.109375" style="3" customWidth="1"/>
    <col min="11270" max="11272" width="7.88671875" style="3" customWidth="1"/>
    <col min="11273" max="11273" width="4.44140625" style="3" customWidth="1"/>
    <col min="11274" max="11274" width="4" style="3" customWidth="1"/>
    <col min="11275" max="11276" width="7.33203125" style="3" customWidth="1"/>
    <col min="11277" max="11277" width="1.5546875" style="3" customWidth="1"/>
    <col min="11278" max="11278" width="7.88671875" style="3" customWidth="1"/>
    <col min="11279" max="11279" width="8.33203125" style="3" customWidth="1"/>
    <col min="11280" max="11520" width="9.109375" style="3"/>
    <col min="11521" max="11521" width="11.109375" style="3" customWidth="1"/>
    <col min="11522" max="11523" width="0.88671875" style="3" customWidth="1"/>
    <col min="11524" max="11524" width="12.5546875" style="3" customWidth="1"/>
    <col min="11525" max="11525" width="10.109375" style="3" customWidth="1"/>
    <col min="11526" max="11528" width="7.88671875" style="3" customWidth="1"/>
    <col min="11529" max="11529" width="4.44140625" style="3" customWidth="1"/>
    <col min="11530" max="11530" width="4" style="3" customWidth="1"/>
    <col min="11531" max="11532" width="7.33203125" style="3" customWidth="1"/>
    <col min="11533" max="11533" width="1.5546875" style="3" customWidth="1"/>
    <col min="11534" max="11534" width="7.88671875" style="3" customWidth="1"/>
    <col min="11535" max="11535" width="8.33203125" style="3" customWidth="1"/>
    <col min="11536" max="11776" width="9.109375" style="3"/>
    <col min="11777" max="11777" width="11.109375" style="3" customWidth="1"/>
    <col min="11778" max="11779" width="0.88671875" style="3" customWidth="1"/>
    <col min="11780" max="11780" width="12.5546875" style="3" customWidth="1"/>
    <col min="11781" max="11781" width="10.109375" style="3" customWidth="1"/>
    <col min="11782" max="11784" width="7.88671875" style="3" customWidth="1"/>
    <col min="11785" max="11785" width="4.44140625" style="3" customWidth="1"/>
    <col min="11786" max="11786" width="4" style="3" customWidth="1"/>
    <col min="11787" max="11788" width="7.33203125" style="3" customWidth="1"/>
    <col min="11789" max="11789" width="1.5546875" style="3" customWidth="1"/>
    <col min="11790" max="11790" width="7.88671875" style="3" customWidth="1"/>
    <col min="11791" max="11791" width="8.33203125" style="3" customWidth="1"/>
    <col min="11792" max="12032" width="9.109375" style="3"/>
    <col min="12033" max="12033" width="11.109375" style="3" customWidth="1"/>
    <col min="12034" max="12035" width="0.88671875" style="3" customWidth="1"/>
    <col min="12036" max="12036" width="12.5546875" style="3" customWidth="1"/>
    <col min="12037" max="12037" width="10.109375" style="3" customWidth="1"/>
    <col min="12038" max="12040" width="7.88671875" style="3" customWidth="1"/>
    <col min="12041" max="12041" width="4.44140625" style="3" customWidth="1"/>
    <col min="12042" max="12042" width="4" style="3" customWidth="1"/>
    <col min="12043" max="12044" width="7.33203125" style="3" customWidth="1"/>
    <col min="12045" max="12045" width="1.5546875" style="3" customWidth="1"/>
    <col min="12046" max="12046" width="7.88671875" style="3" customWidth="1"/>
    <col min="12047" max="12047" width="8.33203125" style="3" customWidth="1"/>
    <col min="12048" max="12288" width="9.109375" style="3"/>
    <col min="12289" max="12289" width="11.109375" style="3" customWidth="1"/>
    <col min="12290" max="12291" width="0.88671875" style="3" customWidth="1"/>
    <col min="12292" max="12292" width="12.5546875" style="3" customWidth="1"/>
    <col min="12293" max="12293" width="10.109375" style="3" customWidth="1"/>
    <col min="12294" max="12296" width="7.88671875" style="3" customWidth="1"/>
    <col min="12297" max="12297" width="4.44140625" style="3" customWidth="1"/>
    <col min="12298" max="12298" width="4" style="3" customWidth="1"/>
    <col min="12299" max="12300" width="7.33203125" style="3" customWidth="1"/>
    <col min="12301" max="12301" width="1.5546875" style="3" customWidth="1"/>
    <col min="12302" max="12302" width="7.88671875" style="3" customWidth="1"/>
    <col min="12303" max="12303" width="8.33203125" style="3" customWidth="1"/>
    <col min="12304" max="12544" width="9.109375" style="3"/>
    <col min="12545" max="12545" width="11.109375" style="3" customWidth="1"/>
    <col min="12546" max="12547" width="0.88671875" style="3" customWidth="1"/>
    <col min="12548" max="12548" width="12.5546875" style="3" customWidth="1"/>
    <col min="12549" max="12549" width="10.109375" style="3" customWidth="1"/>
    <col min="12550" max="12552" width="7.88671875" style="3" customWidth="1"/>
    <col min="12553" max="12553" width="4.44140625" style="3" customWidth="1"/>
    <col min="12554" max="12554" width="4" style="3" customWidth="1"/>
    <col min="12555" max="12556" width="7.33203125" style="3" customWidth="1"/>
    <col min="12557" max="12557" width="1.5546875" style="3" customWidth="1"/>
    <col min="12558" max="12558" width="7.88671875" style="3" customWidth="1"/>
    <col min="12559" max="12559" width="8.33203125" style="3" customWidth="1"/>
    <col min="12560" max="12800" width="9.109375" style="3"/>
    <col min="12801" max="12801" width="11.109375" style="3" customWidth="1"/>
    <col min="12802" max="12803" width="0.88671875" style="3" customWidth="1"/>
    <col min="12804" max="12804" width="12.5546875" style="3" customWidth="1"/>
    <col min="12805" max="12805" width="10.109375" style="3" customWidth="1"/>
    <col min="12806" max="12808" width="7.88671875" style="3" customWidth="1"/>
    <col min="12809" max="12809" width="4.44140625" style="3" customWidth="1"/>
    <col min="12810" max="12810" width="4" style="3" customWidth="1"/>
    <col min="12811" max="12812" width="7.33203125" style="3" customWidth="1"/>
    <col min="12813" max="12813" width="1.5546875" style="3" customWidth="1"/>
    <col min="12814" max="12814" width="7.88671875" style="3" customWidth="1"/>
    <col min="12815" max="12815" width="8.33203125" style="3" customWidth="1"/>
    <col min="12816" max="13056" width="9.109375" style="3"/>
    <col min="13057" max="13057" width="11.109375" style="3" customWidth="1"/>
    <col min="13058" max="13059" width="0.88671875" style="3" customWidth="1"/>
    <col min="13060" max="13060" width="12.5546875" style="3" customWidth="1"/>
    <col min="13061" max="13061" width="10.109375" style="3" customWidth="1"/>
    <col min="13062" max="13064" width="7.88671875" style="3" customWidth="1"/>
    <col min="13065" max="13065" width="4.44140625" style="3" customWidth="1"/>
    <col min="13066" max="13066" width="4" style="3" customWidth="1"/>
    <col min="13067" max="13068" width="7.33203125" style="3" customWidth="1"/>
    <col min="13069" max="13069" width="1.5546875" style="3" customWidth="1"/>
    <col min="13070" max="13070" width="7.88671875" style="3" customWidth="1"/>
    <col min="13071" max="13071" width="8.33203125" style="3" customWidth="1"/>
    <col min="13072" max="13312" width="9.109375" style="3"/>
    <col min="13313" max="13313" width="11.109375" style="3" customWidth="1"/>
    <col min="13314" max="13315" width="0.88671875" style="3" customWidth="1"/>
    <col min="13316" max="13316" width="12.5546875" style="3" customWidth="1"/>
    <col min="13317" max="13317" width="10.109375" style="3" customWidth="1"/>
    <col min="13318" max="13320" width="7.88671875" style="3" customWidth="1"/>
    <col min="13321" max="13321" width="4.44140625" style="3" customWidth="1"/>
    <col min="13322" max="13322" width="4" style="3" customWidth="1"/>
    <col min="13323" max="13324" width="7.33203125" style="3" customWidth="1"/>
    <col min="13325" max="13325" width="1.5546875" style="3" customWidth="1"/>
    <col min="13326" max="13326" width="7.88671875" style="3" customWidth="1"/>
    <col min="13327" max="13327" width="8.33203125" style="3" customWidth="1"/>
    <col min="13328" max="13568" width="9.109375" style="3"/>
    <col min="13569" max="13569" width="11.109375" style="3" customWidth="1"/>
    <col min="13570" max="13571" width="0.88671875" style="3" customWidth="1"/>
    <col min="13572" max="13572" width="12.5546875" style="3" customWidth="1"/>
    <col min="13573" max="13573" width="10.109375" style="3" customWidth="1"/>
    <col min="13574" max="13576" width="7.88671875" style="3" customWidth="1"/>
    <col min="13577" max="13577" width="4.44140625" style="3" customWidth="1"/>
    <col min="13578" max="13578" width="4" style="3" customWidth="1"/>
    <col min="13579" max="13580" width="7.33203125" style="3" customWidth="1"/>
    <col min="13581" max="13581" width="1.5546875" style="3" customWidth="1"/>
    <col min="13582" max="13582" width="7.88671875" style="3" customWidth="1"/>
    <col min="13583" max="13583" width="8.33203125" style="3" customWidth="1"/>
    <col min="13584" max="13824" width="9.109375" style="3"/>
    <col min="13825" max="13825" width="11.109375" style="3" customWidth="1"/>
    <col min="13826" max="13827" width="0.88671875" style="3" customWidth="1"/>
    <col min="13828" max="13828" width="12.5546875" style="3" customWidth="1"/>
    <col min="13829" max="13829" width="10.109375" style="3" customWidth="1"/>
    <col min="13830" max="13832" width="7.88671875" style="3" customWidth="1"/>
    <col min="13833" max="13833" width="4.44140625" style="3" customWidth="1"/>
    <col min="13834" max="13834" width="4" style="3" customWidth="1"/>
    <col min="13835" max="13836" width="7.33203125" style="3" customWidth="1"/>
    <col min="13837" max="13837" width="1.5546875" style="3" customWidth="1"/>
    <col min="13838" max="13838" width="7.88671875" style="3" customWidth="1"/>
    <col min="13839" max="13839" width="8.33203125" style="3" customWidth="1"/>
    <col min="13840" max="14080" width="9.109375" style="3"/>
    <col min="14081" max="14081" width="11.109375" style="3" customWidth="1"/>
    <col min="14082" max="14083" width="0.88671875" style="3" customWidth="1"/>
    <col min="14084" max="14084" width="12.5546875" style="3" customWidth="1"/>
    <col min="14085" max="14085" width="10.109375" style="3" customWidth="1"/>
    <col min="14086" max="14088" width="7.88671875" style="3" customWidth="1"/>
    <col min="14089" max="14089" width="4.44140625" style="3" customWidth="1"/>
    <col min="14090" max="14090" width="4" style="3" customWidth="1"/>
    <col min="14091" max="14092" width="7.33203125" style="3" customWidth="1"/>
    <col min="14093" max="14093" width="1.5546875" style="3" customWidth="1"/>
    <col min="14094" max="14094" width="7.88671875" style="3" customWidth="1"/>
    <col min="14095" max="14095" width="8.33203125" style="3" customWidth="1"/>
    <col min="14096" max="14336" width="9.109375" style="3"/>
    <col min="14337" max="14337" width="11.109375" style="3" customWidth="1"/>
    <col min="14338" max="14339" width="0.88671875" style="3" customWidth="1"/>
    <col min="14340" max="14340" width="12.5546875" style="3" customWidth="1"/>
    <col min="14341" max="14341" width="10.109375" style="3" customWidth="1"/>
    <col min="14342" max="14344" width="7.88671875" style="3" customWidth="1"/>
    <col min="14345" max="14345" width="4.44140625" style="3" customWidth="1"/>
    <col min="14346" max="14346" width="4" style="3" customWidth="1"/>
    <col min="14347" max="14348" width="7.33203125" style="3" customWidth="1"/>
    <col min="14349" max="14349" width="1.5546875" style="3" customWidth="1"/>
    <col min="14350" max="14350" width="7.88671875" style="3" customWidth="1"/>
    <col min="14351" max="14351" width="8.33203125" style="3" customWidth="1"/>
    <col min="14352" max="14592" width="9.109375" style="3"/>
    <col min="14593" max="14593" width="11.109375" style="3" customWidth="1"/>
    <col min="14594" max="14595" width="0.88671875" style="3" customWidth="1"/>
    <col min="14596" max="14596" width="12.5546875" style="3" customWidth="1"/>
    <col min="14597" max="14597" width="10.109375" style="3" customWidth="1"/>
    <col min="14598" max="14600" width="7.88671875" style="3" customWidth="1"/>
    <col min="14601" max="14601" width="4.44140625" style="3" customWidth="1"/>
    <col min="14602" max="14602" width="4" style="3" customWidth="1"/>
    <col min="14603" max="14604" width="7.33203125" style="3" customWidth="1"/>
    <col min="14605" max="14605" width="1.5546875" style="3" customWidth="1"/>
    <col min="14606" max="14606" width="7.88671875" style="3" customWidth="1"/>
    <col min="14607" max="14607" width="8.33203125" style="3" customWidth="1"/>
    <col min="14608" max="14848" width="9.109375" style="3"/>
    <col min="14849" max="14849" width="11.109375" style="3" customWidth="1"/>
    <col min="14850" max="14851" width="0.88671875" style="3" customWidth="1"/>
    <col min="14852" max="14852" width="12.5546875" style="3" customWidth="1"/>
    <col min="14853" max="14853" width="10.109375" style="3" customWidth="1"/>
    <col min="14854" max="14856" width="7.88671875" style="3" customWidth="1"/>
    <col min="14857" max="14857" width="4.44140625" style="3" customWidth="1"/>
    <col min="14858" max="14858" width="4" style="3" customWidth="1"/>
    <col min="14859" max="14860" width="7.33203125" style="3" customWidth="1"/>
    <col min="14861" max="14861" width="1.5546875" style="3" customWidth="1"/>
    <col min="14862" max="14862" width="7.88671875" style="3" customWidth="1"/>
    <col min="14863" max="14863" width="8.33203125" style="3" customWidth="1"/>
    <col min="14864" max="15104" width="9.109375" style="3"/>
    <col min="15105" max="15105" width="11.109375" style="3" customWidth="1"/>
    <col min="15106" max="15107" width="0.88671875" style="3" customWidth="1"/>
    <col min="15108" max="15108" width="12.5546875" style="3" customWidth="1"/>
    <col min="15109" max="15109" width="10.109375" style="3" customWidth="1"/>
    <col min="15110" max="15112" width="7.88671875" style="3" customWidth="1"/>
    <col min="15113" max="15113" width="4.44140625" style="3" customWidth="1"/>
    <col min="15114" max="15114" width="4" style="3" customWidth="1"/>
    <col min="15115" max="15116" width="7.33203125" style="3" customWidth="1"/>
    <col min="15117" max="15117" width="1.5546875" style="3" customWidth="1"/>
    <col min="15118" max="15118" width="7.88671875" style="3" customWidth="1"/>
    <col min="15119" max="15119" width="8.33203125" style="3" customWidth="1"/>
    <col min="15120" max="15360" width="9.109375" style="3"/>
    <col min="15361" max="15361" width="11.109375" style="3" customWidth="1"/>
    <col min="15362" max="15363" width="0.88671875" style="3" customWidth="1"/>
    <col min="15364" max="15364" width="12.5546875" style="3" customWidth="1"/>
    <col min="15365" max="15365" width="10.109375" style="3" customWidth="1"/>
    <col min="15366" max="15368" width="7.88671875" style="3" customWidth="1"/>
    <col min="15369" max="15369" width="4.44140625" style="3" customWidth="1"/>
    <col min="15370" max="15370" width="4" style="3" customWidth="1"/>
    <col min="15371" max="15372" width="7.33203125" style="3" customWidth="1"/>
    <col min="15373" max="15373" width="1.5546875" style="3" customWidth="1"/>
    <col min="15374" max="15374" width="7.88671875" style="3" customWidth="1"/>
    <col min="15375" max="15375" width="8.33203125" style="3" customWidth="1"/>
    <col min="15376" max="15616" width="9.109375" style="3"/>
    <col min="15617" max="15617" width="11.109375" style="3" customWidth="1"/>
    <col min="15618" max="15619" width="0.88671875" style="3" customWidth="1"/>
    <col min="15620" max="15620" width="12.5546875" style="3" customWidth="1"/>
    <col min="15621" max="15621" width="10.109375" style="3" customWidth="1"/>
    <col min="15622" max="15624" width="7.88671875" style="3" customWidth="1"/>
    <col min="15625" max="15625" width="4.44140625" style="3" customWidth="1"/>
    <col min="15626" max="15626" width="4" style="3" customWidth="1"/>
    <col min="15627" max="15628" width="7.33203125" style="3" customWidth="1"/>
    <col min="15629" max="15629" width="1.5546875" style="3" customWidth="1"/>
    <col min="15630" max="15630" width="7.88671875" style="3" customWidth="1"/>
    <col min="15631" max="15631" width="8.33203125" style="3" customWidth="1"/>
    <col min="15632" max="15872" width="9.109375" style="3"/>
    <col min="15873" max="15873" width="11.109375" style="3" customWidth="1"/>
    <col min="15874" max="15875" width="0.88671875" style="3" customWidth="1"/>
    <col min="15876" max="15876" width="12.5546875" style="3" customWidth="1"/>
    <col min="15877" max="15877" width="10.109375" style="3" customWidth="1"/>
    <col min="15878" max="15880" width="7.88671875" style="3" customWidth="1"/>
    <col min="15881" max="15881" width="4.44140625" style="3" customWidth="1"/>
    <col min="15882" max="15882" width="4" style="3" customWidth="1"/>
    <col min="15883" max="15884" width="7.33203125" style="3" customWidth="1"/>
    <col min="15885" max="15885" width="1.5546875" style="3" customWidth="1"/>
    <col min="15886" max="15886" width="7.88671875" style="3" customWidth="1"/>
    <col min="15887" max="15887" width="8.33203125" style="3" customWidth="1"/>
    <col min="15888" max="16128" width="9.109375" style="3"/>
    <col min="16129" max="16129" width="11.109375" style="3" customWidth="1"/>
    <col min="16130" max="16131" width="0.88671875" style="3" customWidth="1"/>
    <col min="16132" max="16132" width="12.5546875" style="3" customWidth="1"/>
    <col min="16133" max="16133" width="10.109375" style="3" customWidth="1"/>
    <col min="16134" max="16136" width="7.88671875" style="3" customWidth="1"/>
    <col min="16137" max="16137" width="4.44140625" style="3" customWidth="1"/>
    <col min="16138" max="16138" width="4" style="3" customWidth="1"/>
    <col min="16139" max="16140" width="7.33203125" style="3" customWidth="1"/>
    <col min="16141" max="16141" width="1.5546875" style="3" customWidth="1"/>
    <col min="16142" max="16142" width="7.88671875" style="3" customWidth="1"/>
    <col min="16143" max="16143" width="8.33203125" style="3" customWidth="1"/>
    <col min="16144" max="16384" width="9.109375" style="3"/>
  </cols>
  <sheetData>
    <row r="1" spans="1:15" ht="14.25" customHeight="1" x14ac:dyDescent="0.3">
      <c r="A1" s="80" t="s">
        <v>266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ht="5.85" customHeight="1" x14ac:dyDescent="0.3"/>
    <row r="3" spans="1:15" ht="63.15" customHeight="1" x14ac:dyDescent="0.3">
      <c r="A3" s="4" t="s">
        <v>267</v>
      </c>
      <c r="C3" s="82" t="s">
        <v>788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</row>
    <row r="4" spans="1:15" ht="17.25" customHeight="1" x14ac:dyDescent="0.3"/>
    <row r="5" spans="1:15" ht="11.4" customHeight="1" x14ac:dyDescent="0.3">
      <c r="A5" s="83" t="s">
        <v>269</v>
      </c>
      <c r="B5" s="84"/>
      <c r="C5" s="85"/>
      <c r="D5" s="5" t="s">
        <v>270</v>
      </c>
      <c r="E5" s="6" t="s">
        <v>271</v>
      </c>
      <c r="F5" s="5" t="s">
        <v>272</v>
      </c>
      <c r="G5" s="6" t="s">
        <v>273</v>
      </c>
      <c r="H5" s="5" t="s">
        <v>274</v>
      </c>
      <c r="I5" s="120" t="s">
        <v>275</v>
      </c>
      <c r="J5" s="93"/>
      <c r="K5" s="5" t="s">
        <v>276</v>
      </c>
      <c r="L5" s="6" t="s">
        <v>277</v>
      </c>
      <c r="M5" s="83" t="s">
        <v>278</v>
      </c>
      <c r="N5" s="85"/>
      <c r="O5" s="7" t="s">
        <v>279</v>
      </c>
    </row>
    <row r="6" spans="1:15" ht="11.4" customHeight="1" x14ac:dyDescent="0.3">
      <c r="A6" s="88" t="s">
        <v>789</v>
      </c>
      <c r="B6" s="84"/>
      <c r="C6" s="85"/>
      <c r="D6" s="14" t="s">
        <v>333</v>
      </c>
      <c r="E6" s="9" t="s">
        <v>790</v>
      </c>
      <c r="F6" s="15" t="s">
        <v>791</v>
      </c>
      <c r="G6" s="11" t="s">
        <v>610</v>
      </c>
      <c r="H6" s="15" t="s">
        <v>740</v>
      </c>
      <c r="I6" s="141" t="s">
        <v>7</v>
      </c>
      <c r="J6" s="85"/>
      <c r="K6" s="15" t="s">
        <v>320</v>
      </c>
      <c r="L6" s="9" t="s">
        <v>287</v>
      </c>
      <c r="M6" s="88" t="s">
        <v>288</v>
      </c>
      <c r="N6" s="85"/>
      <c r="O6" s="9" t="s">
        <v>289</v>
      </c>
    </row>
    <row r="7" spans="1:15" ht="11.4" customHeight="1" x14ac:dyDescent="0.3">
      <c r="A7" s="101" t="s">
        <v>789</v>
      </c>
      <c r="B7" s="84"/>
      <c r="C7" s="85"/>
      <c r="D7" s="9" t="s">
        <v>792</v>
      </c>
      <c r="E7" s="14" t="s">
        <v>793</v>
      </c>
      <c r="F7" s="11" t="s">
        <v>446</v>
      </c>
      <c r="G7" s="15" t="s">
        <v>318</v>
      </c>
      <c r="H7" s="11" t="s">
        <v>794</v>
      </c>
      <c r="I7" s="141" t="s">
        <v>7</v>
      </c>
      <c r="J7" s="85"/>
      <c r="K7" s="11" t="s">
        <v>286</v>
      </c>
      <c r="L7" s="14" t="s">
        <v>287</v>
      </c>
      <c r="M7" s="88" t="s">
        <v>288</v>
      </c>
      <c r="N7" s="85"/>
      <c r="O7" s="16" t="s">
        <v>289</v>
      </c>
    </row>
    <row r="8" spans="1:15" ht="11.4" customHeight="1" x14ac:dyDescent="0.3">
      <c r="A8" s="88" t="s">
        <v>789</v>
      </c>
      <c r="B8" s="84"/>
      <c r="C8" s="85"/>
      <c r="D8" s="14" t="s">
        <v>795</v>
      </c>
      <c r="E8" s="9" t="s">
        <v>796</v>
      </c>
      <c r="F8" s="15" t="s">
        <v>797</v>
      </c>
      <c r="G8" s="11" t="s">
        <v>798</v>
      </c>
      <c r="H8" s="15" t="s">
        <v>799</v>
      </c>
      <c r="I8" s="141" t="s">
        <v>7</v>
      </c>
      <c r="J8" s="85"/>
      <c r="K8" s="15" t="s">
        <v>301</v>
      </c>
      <c r="L8" s="9" t="s">
        <v>287</v>
      </c>
      <c r="M8" s="88" t="s">
        <v>288</v>
      </c>
      <c r="N8" s="85"/>
      <c r="O8" s="9" t="s">
        <v>309</v>
      </c>
    </row>
    <row r="9" spans="1:15" ht="11.4" customHeight="1" x14ac:dyDescent="0.3">
      <c r="A9" s="111" t="s">
        <v>789</v>
      </c>
      <c r="B9" s="112"/>
      <c r="C9" s="106"/>
      <c r="D9" s="9" t="s">
        <v>800</v>
      </c>
      <c r="E9" s="8" t="s">
        <v>801</v>
      </c>
      <c r="F9" s="11" t="s">
        <v>469</v>
      </c>
      <c r="G9" s="10" t="s">
        <v>802</v>
      </c>
      <c r="H9" s="11" t="s">
        <v>803</v>
      </c>
      <c r="I9" s="147" t="s">
        <v>7</v>
      </c>
      <c r="J9" s="106"/>
      <c r="K9" s="11" t="s">
        <v>804</v>
      </c>
      <c r="L9" s="8" t="s">
        <v>287</v>
      </c>
      <c r="M9" s="88" t="s">
        <v>288</v>
      </c>
      <c r="N9" s="85"/>
      <c r="O9" s="9" t="s">
        <v>289</v>
      </c>
    </row>
    <row r="10" spans="1:15" ht="2.85" customHeight="1" x14ac:dyDescent="0.3"/>
    <row r="11" spans="1:15" ht="11.4" customHeight="1" x14ac:dyDescent="0.3">
      <c r="A11" s="94" t="s">
        <v>290</v>
      </c>
      <c r="B11" s="81"/>
      <c r="C11" s="81"/>
      <c r="D11" s="81"/>
      <c r="E11" s="81"/>
      <c r="F11" s="81"/>
      <c r="G11" s="81"/>
      <c r="H11" s="12" t="s">
        <v>805</v>
      </c>
      <c r="I11" s="142" t="s">
        <v>9</v>
      </c>
      <c r="J11" s="143"/>
      <c r="K11" s="97" t="s">
        <v>291</v>
      </c>
      <c r="L11" s="81"/>
      <c r="M11" s="81"/>
      <c r="N11" s="97" t="s">
        <v>292</v>
      </c>
      <c r="O11" s="81"/>
    </row>
    <row r="12" spans="1:15" ht="11.4" customHeight="1" x14ac:dyDescent="0.3">
      <c r="F12" s="97" t="s">
        <v>293</v>
      </c>
      <c r="G12" s="81"/>
      <c r="H12" s="13" t="s">
        <v>806</v>
      </c>
      <c r="I12" s="144" t="s">
        <v>9</v>
      </c>
      <c r="J12" s="145"/>
      <c r="K12" s="100" t="s">
        <v>295</v>
      </c>
      <c r="L12" s="81"/>
      <c r="M12" s="81"/>
      <c r="N12" s="100" t="s">
        <v>295</v>
      </c>
      <c r="O12" s="81"/>
    </row>
    <row r="13" spans="1:15" ht="20.100000000000001" customHeight="1" x14ac:dyDescent="0.3"/>
    <row r="14" spans="1:15" ht="11.4" customHeight="1" x14ac:dyDescent="0.3">
      <c r="A14" s="83" t="s">
        <v>269</v>
      </c>
      <c r="B14" s="84"/>
      <c r="C14" s="85"/>
      <c r="D14" s="6" t="s">
        <v>270</v>
      </c>
      <c r="E14" s="5" t="s">
        <v>271</v>
      </c>
      <c r="F14" s="6" t="s">
        <v>272</v>
      </c>
      <c r="G14" s="5" t="s">
        <v>273</v>
      </c>
      <c r="H14" s="6" t="s">
        <v>274</v>
      </c>
      <c r="I14" s="83" t="s">
        <v>275</v>
      </c>
      <c r="J14" s="85"/>
      <c r="K14" s="6" t="s">
        <v>276</v>
      </c>
      <c r="L14" s="5" t="s">
        <v>277</v>
      </c>
      <c r="M14" s="120" t="s">
        <v>278</v>
      </c>
      <c r="N14" s="93"/>
      <c r="O14" s="5" t="s">
        <v>279</v>
      </c>
    </row>
    <row r="15" spans="1:15" ht="11.4" customHeight="1" x14ac:dyDescent="0.3">
      <c r="A15" s="101" t="s">
        <v>789</v>
      </c>
      <c r="B15" s="84"/>
      <c r="C15" s="85"/>
      <c r="D15" s="9" t="s">
        <v>807</v>
      </c>
      <c r="E15" s="14" t="s">
        <v>808</v>
      </c>
      <c r="F15" s="11" t="s">
        <v>809</v>
      </c>
      <c r="G15" s="15" t="s">
        <v>490</v>
      </c>
      <c r="H15" s="11" t="s">
        <v>810</v>
      </c>
      <c r="I15" s="141" t="s">
        <v>7</v>
      </c>
      <c r="J15" s="85"/>
      <c r="K15" s="11" t="s">
        <v>811</v>
      </c>
      <c r="L15" s="14" t="s">
        <v>287</v>
      </c>
      <c r="M15" s="88" t="s">
        <v>302</v>
      </c>
      <c r="N15" s="85"/>
      <c r="O15" s="16" t="s">
        <v>289</v>
      </c>
    </row>
    <row r="16" spans="1:15" ht="11.4" customHeight="1" x14ac:dyDescent="0.3">
      <c r="A16" s="88" t="s">
        <v>789</v>
      </c>
      <c r="B16" s="84"/>
      <c r="C16" s="85"/>
      <c r="D16" s="14" t="s">
        <v>812</v>
      </c>
      <c r="E16" s="9" t="s">
        <v>813</v>
      </c>
      <c r="F16" s="15" t="s">
        <v>344</v>
      </c>
      <c r="G16" s="11" t="s">
        <v>814</v>
      </c>
      <c r="H16" s="15" t="s">
        <v>736</v>
      </c>
      <c r="I16" s="141" t="s">
        <v>7</v>
      </c>
      <c r="J16" s="85"/>
      <c r="K16" s="15" t="s">
        <v>711</v>
      </c>
      <c r="L16" s="9" t="s">
        <v>287</v>
      </c>
      <c r="M16" s="88" t="s">
        <v>302</v>
      </c>
      <c r="N16" s="85"/>
      <c r="O16" s="9" t="s">
        <v>289</v>
      </c>
    </row>
    <row r="17" spans="1:15" ht="11.4" customHeight="1" x14ac:dyDescent="0.3">
      <c r="A17" s="101" t="s">
        <v>789</v>
      </c>
      <c r="B17" s="84"/>
      <c r="C17" s="85"/>
      <c r="D17" s="9" t="s">
        <v>815</v>
      </c>
      <c r="E17" s="14" t="s">
        <v>816</v>
      </c>
      <c r="F17" s="11" t="s">
        <v>817</v>
      </c>
      <c r="G17" s="15" t="s">
        <v>818</v>
      </c>
      <c r="H17" s="11" t="s">
        <v>819</v>
      </c>
      <c r="I17" s="141" t="s">
        <v>7</v>
      </c>
      <c r="J17" s="85"/>
      <c r="K17" s="11" t="s">
        <v>820</v>
      </c>
      <c r="L17" s="14" t="s">
        <v>287</v>
      </c>
      <c r="M17" s="88" t="s">
        <v>302</v>
      </c>
      <c r="N17" s="85"/>
      <c r="O17" s="16" t="s">
        <v>309</v>
      </c>
    </row>
    <row r="18" spans="1:15" ht="11.4" customHeight="1" x14ac:dyDescent="0.3">
      <c r="A18" s="88" t="s">
        <v>789</v>
      </c>
      <c r="B18" s="84"/>
      <c r="C18" s="85"/>
      <c r="D18" s="8" t="s">
        <v>821</v>
      </c>
      <c r="E18" s="9" t="s">
        <v>822</v>
      </c>
      <c r="F18" s="10" t="s">
        <v>823</v>
      </c>
      <c r="G18" s="11" t="s">
        <v>824</v>
      </c>
      <c r="H18" s="10" t="s">
        <v>491</v>
      </c>
      <c r="I18" s="141" t="s">
        <v>7</v>
      </c>
      <c r="J18" s="85"/>
      <c r="K18" s="10" t="s">
        <v>825</v>
      </c>
      <c r="L18" s="9" t="s">
        <v>287</v>
      </c>
      <c r="M18" s="88" t="s">
        <v>302</v>
      </c>
      <c r="N18" s="85"/>
      <c r="O18" s="9" t="s">
        <v>289</v>
      </c>
    </row>
    <row r="19" spans="1:15" ht="2.85" customHeight="1" x14ac:dyDescent="0.3"/>
    <row r="20" spans="1:15" ht="11.4" customHeight="1" x14ac:dyDescent="0.3">
      <c r="A20" s="94" t="s">
        <v>339</v>
      </c>
      <c r="B20" s="81"/>
      <c r="C20" s="81"/>
      <c r="D20" s="81"/>
      <c r="E20" s="81"/>
      <c r="F20" s="81"/>
      <c r="G20" s="81"/>
      <c r="H20" s="12" t="s">
        <v>826</v>
      </c>
      <c r="I20" s="142" t="s">
        <v>9</v>
      </c>
      <c r="J20" s="143"/>
      <c r="K20" s="97" t="s">
        <v>291</v>
      </c>
      <c r="L20" s="81"/>
      <c r="M20" s="81"/>
      <c r="N20" s="97" t="s">
        <v>292</v>
      </c>
      <c r="O20" s="81"/>
    </row>
    <row r="21" spans="1:15" ht="11.4" customHeight="1" x14ac:dyDescent="0.3">
      <c r="F21" s="97" t="s">
        <v>293</v>
      </c>
      <c r="G21" s="81"/>
      <c r="H21" s="13" t="s">
        <v>827</v>
      </c>
      <c r="I21" s="144" t="s">
        <v>9</v>
      </c>
      <c r="J21" s="145"/>
      <c r="K21" s="100" t="s">
        <v>295</v>
      </c>
      <c r="L21" s="81"/>
      <c r="M21" s="81"/>
      <c r="N21" s="100" t="s">
        <v>295</v>
      </c>
      <c r="O21" s="81"/>
    </row>
    <row r="22" spans="1:15" ht="20.100000000000001" customHeight="1" x14ac:dyDescent="0.3"/>
    <row r="23" spans="1:15" ht="11.4" customHeight="1" x14ac:dyDescent="0.3">
      <c r="A23" s="91" t="s">
        <v>269</v>
      </c>
      <c r="B23" s="92"/>
      <c r="C23" s="93"/>
      <c r="D23" s="5" t="s">
        <v>270</v>
      </c>
      <c r="E23" s="6" t="s">
        <v>271</v>
      </c>
      <c r="F23" s="5" t="s">
        <v>272</v>
      </c>
      <c r="G23" s="6" t="s">
        <v>273</v>
      </c>
      <c r="H23" s="5" t="s">
        <v>274</v>
      </c>
      <c r="I23" s="120" t="s">
        <v>275</v>
      </c>
      <c r="J23" s="93"/>
      <c r="K23" s="5" t="s">
        <v>276</v>
      </c>
      <c r="L23" s="6" t="s">
        <v>277</v>
      </c>
      <c r="M23" s="83" t="s">
        <v>278</v>
      </c>
      <c r="N23" s="85"/>
      <c r="O23" s="7" t="s">
        <v>279</v>
      </c>
    </row>
    <row r="24" spans="1:15" ht="11.4" customHeight="1" x14ac:dyDescent="0.3">
      <c r="A24" s="88" t="s">
        <v>789</v>
      </c>
      <c r="B24" s="84"/>
      <c r="C24" s="85"/>
      <c r="D24" s="14" t="s">
        <v>828</v>
      </c>
      <c r="E24" s="9" t="s">
        <v>829</v>
      </c>
      <c r="F24" s="15" t="s">
        <v>344</v>
      </c>
      <c r="G24" s="11" t="s">
        <v>830</v>
      </c>
      <c r="H24" s="15" t="s">
        <v>655</v>
      </c>
      <c r="I24" s="141" t="s">
        <v>7</v>
      </c>
      <c r="J24" s="85"/>
      <c r="K24" s="15" t="s">
        <v>301</v>
      </c>
      <c r="L24" s="9" t="s">
        <v>287</v>
      </c>
      <c r="M24" s="88" t="s">
        <v>348</v>
      </c>
      <c r="N24" s="85"/>
      <c r="O24" s="9" t="s">
        <v>309</v>
      </c>
    </row>
    <row r="25" spans="1:15" ht="11.4" customHeight="1" x14ac:dyDescent="0.3">
      <c r="A25" s="101" t="s">
        <v>789</v>
      </c>
      <c r="B25" s="84"/>
      <c r="C25" s="85"/>
      <c r="D25" s="9" t="s">
        <v>327</v>
      </c>
      <c r="E25" s="14" t="s">
        <v>831</v>
      </c>
      <c r="F25" s="11" t="s">
        <v>832</v>
      </c>
      <c r="G25" s="15" t="s">
        <v>833</v>
      </c>
      <c r="H25" s="11" t="s">
        <v>740</v>
      </c>
      <c r="I25" s="141" t="s">
        <v>7</v>
      </c>
      <c r="J25" s="85"/>
      <c r="K25" s="11" t="s">
        <v>834</v>
      </c>
      <c r="L25" s="14" t="s">
        <v>287</v>
      </c>
      <c r="M25" s="88" t="s">
        <v>348</v>
      </c>
      <c r="N25" s="85"/>
      <c r="O25" s="16" t="s">
        <v>289</v>
      </c>
    </row>
    <row r="26" spans="1:15" ht="11.4" customHeight="1" x14ac:dyDescent="0.3">
      <c r="A26" s="88" t="s">
        <v>789</v>
      </c>
      <c r="B26" s="84"/>
      <c r="C26" s="85"/>
      <c r="D26" s="14" t="s">
        <v>835</v>
      </c>
      <c r="E26" s="9" t="s">
        <v>836</v>
      </c>
      <c r="F26" s="15" t="s">
        <v>837</v>
      </c>
      <c r="G26" s="11" t="s">
        <v>575</v>
      </c>
      <c r="H26" s="15" t="s">
        <v>838</v>
      </c>
      <c r="I26" s="141" t="s">
        <v>7</v>
      </c>
      <c r="J26" s="85"/>
      <c r="K26" s="15" t="s">
        <v>839</v>
      </c>
      <c r="L26" s="9" t="s">
        <v>287</v>
      </c>
      <c r="M26" s="88" t="s">
        <v>348</v>
      </c>
      <c r="N26" s="85"/>
      <c r="O26" s="9" t="s">
        <v>289</v>
      </c>
    </row>
    <row r="27" spans="1:15" ht="11.4" customHeight="1" x14ac:dyDescent="0.3">
      <c r="A27" s="101" t="s">
        <v>789</v>
      </c>
      <c r="B27" s="84"/>
      <c r="C27" s="85"/>
      <c r="D27" s="9" t="s">
        <v>840</v>
      </c>
      <c r="E27" s="14" t="s">
        <v>841</v>
      </c>
      <c r="F27" s="11" t="s">
        <v>842</v>
      </c>
      <c r="G27" s="15" t="s">
        <v>843</v>
      </c>
      <c r="H27" s="11" t="s">
        <v>844</v>
      </c>
      <c r="I27" s="141" t="s">
        <v>7</v>
      </c>
      <c r="J27" s="85"/>
      <c r="K27" s="11" t="s">
        <v>301</v>
      </c>
      <c r="L27" s="14" t="s">
        <v>287</v>
      </c>
      <c r="M27" s="88" t="s">
        <v>348</v>
      </c>
      <c r="N27" s="85"/>
      <c r="O27" s="16" t="s">
        <v>309</v>
      </c>
    </row>
    <row r="28" spans="1:15" ht="11.4" customHeight="1" x14ac:dyDescent="0.3">
      <c r="A28" s="88" t="s">
        <v>789</v>
      </c>
      <c r="B28" s="84"/>
      <c r="C28" s="85"/>
      <c r="D28" s="8" t="s">
        <v>845</v>
      </c>
      <c r="E28" s="9" t="s">
        <v>846</v>
      </c>
      <c r="F28" s="10" t="s">
        <v>847</v>
      </c>
      <c r="G28" s="11" t="s">
        <v>848</v>
      </c>
      <c r="H28" s="10" t="s">
        <v>849</v>
      </c>
      <c r="I28" s="141" t="s">
        <v>7</v>
      </c>
      <c r="J28" s="85"/>
      <c r="K28" s="10" t="s">
        <v>850</v>
      </c>
      <c r="L28" s="9" t="s">
        <v>287</v>
      </c>
      <c r="M28" s="88" t="s">
        <v>348</v>
      </c>
      <c r="N28" s="85"/>
      <c r="O28" s="9" t="s">
        <v>289</v>
      </c>
    </row>
    <row r="29" spans="1:15" ht="2.85" customHeight="1" x14ac:dyDescent="0.3"/>
    <row r="30" spans="1:15" ht="11.4" customHeight="1" x14ac:dyDescent="0.3">
      <c r="A30" s="94" t="s">
        <v>361</v>
      </c>
      <c r="B30" s="81"/>
      <c r="C30" s="81"/>
      <c r="D30" s="81"/>
      <c r="E30" s="81"/>
      <c r="F30" s="81"/>
      <c r="G30" s="81"/>
      <c r="H30" s="12" t="s">
        <v>851</v>
      </c>
      <c r="I30" s="142" t="s">
        <v>9</v>
      </c>
      <c r="J30" s="143"/>
      <c r="K30" s="97" t="s">
        <v>291</v>
      </c>
      <c r="L30" s="81"/>
      <c r="M30" s="81"/>
      <c r="N30" s="97" t="s">
        <v>292</v>
      </c>
      <c r="O30" s="81"/>
    </row>
    <row r="31" spans="1:15" ht="11.4" customHeight="1" x14ac:dyDescent="0.3">
      <c r="F31" s="97" t="s">
        <v>293</v>
      </c>
      <c r="G31" s="81"/>
      <c r="H31" s="13" t="s">
        <v>852</v>
      </c>
      <c r="I31" s="144" t="s">
        <v>9</v>
      </c>
      <c r="J31" s="145"/>
      <c r="K31" s="100" t="s">
        <v>295</v>
      </c>
      <c r="L31" s="81"/>
      <c r="M31" s="81"/>
      <c r="N31" s="100" t="s">
        <v>295</v>
      </c>
      <c r="O31" s="81"/>
    </row>
    <row r="32" spans="1:15" ht="20.100000000000001" customHeight="1" x14ac:dyDescent="0.3"/>
    <row r="33" spans="1:15" ht="11.4" customHeight="1" x14ac:dyDescent="0.3">
      <c r="A33" s="91" t="s">
        <v>269</v>
      </c>
      <c r="B33" s="92"/>
      <c r="C33" s="93"/>
      <c r="D33" s="5" t="s">
        <v>270</v>
      </c>
      <c r="E33" s="6" t="s">
        <v>271</v>
      </c>
      <c r="F33" s="5" t="s">
        <v>272</v>
      </c>
      <c r="G33" s="6" t="s">
        <v>273</v>
      </c>
      <c r="H33" s="5" t="s">
        <v>274</v>
      </c>
      <c r="I33" s="120" t="s">
        <v>275</v>
      </c>
      <c r="J33" s="93"/>
      <c r="K33" s="5" t="s">
        <v>276</v>
      </c>
      <c r="L33" s="6" t="s">
        <v>277</v>
      </c>
      <c r="M33" s="83" t="s">
        <v>278</v>
      </c>
      <c r="N33" s="85"/>
      <c r="O33" s="7" t="s">
        <v>279</v>
      </c>
    </row>
    <row r="34" spans="1:15" ht="11.4" customHeight="1" x14ac:dyDescent="0.3">
      <c r="A34" s="88" t="s">
        <v>789</v>
      </c>
      <c r="B34" s="84"/>
      <c r="C34" s="85"/>
      <c r="D34" s="14" t="s">
        <v>372</v>
      </c>
      <c r="E34" s="9" t="s">
        <v>853</v>
      </c>
      <c r="F34" s="15" t="s">
        <v>750</v>
      </c>
      <c r="G34" s="11" t="s">
        <v>854</v>
      </c>
      <c r="H34" s="15" t="s">
        <v>774</v>
      </c>
      <c r="I34" s="141" t="s">
        <v>7</v>
      </c>
      <c r="J34" s="85"/>
      <c r="K34" s="15" t="s">
        <v>301</v>
      </c>
      <c r="L34" s="9" t="s">
        <v>370</v>
      </c>
      <c r="M34" s="88" t="s">
        <v>371</v>
      </c>
      <c r="N34" s="85"/>
      <c r="O34" s="9" t="s">
        <v>289</v>
      </c>
    </row>
    <row r="35" spans="1:15" ht="11.4" customHeight="1" x14ac:dyDescent="0.3">
      <c r="A35" s="101" t="s">
        <v>789</v>
      </c>
      <c r="B35" s="84"/>
      <c r="C35" s="85"/>
      <c r="D35" s="9" t="s">
        <v>855</v>
      </c>
      <c r="E35" s="14" t="s">
        <v>856</v>
      </c>
      <c r="F35" s="11" t="s">
        <v>770</v>
      </c>
      <c r="G35" s="15" t="s">
        <v>642</v>
      </c>
      <c r="H35" s="11" t="s">
        <v>728</v>
      </c>
      <c r="I35" s="141" t="s">
        <v>7</v>
      </c>
      <c r="J35" s="85"/>
      <c r="K35" s="11" t="s">
        <v>724</v>
      </c>
      <c r="L35" s="14" t="s">
        <v>287</v>
      </c>
      <c r="M35" s="88" t="s">
        <v>371</v>
      </c>
      <c r="N35" s="85"/>
      <c r="O35" s="16" t="s">
        <v>289</v>
      </c>
    </row>
    <row r="36" spans="1:15" ht="11.4" customHeight="1" x14ac:dyDescent="0.3">
      <c r="A36" s="88" t="s">
        <v>789</v>
      </c>
      <c r="B36" s="84"/>
      <c r="C36" s="85"/>
      <c r="D36" s="14" t="s">
        <v>429</v>
      </c>
      <c r="E36" s="9" t="s">
        <v>857</v>
      </c>
      <c r="F36" s="15" t="s">
        <v>784</v>
      </c>
      <c r="G36" s="11" t="s">
        <v>484</v>
      </c>
      <c r="H36" s="15" t="s">
        <v>433</v>
      </c>
      <c r="I36" s="141" t="s">
        <v>7</v>
      </c>
      <c r="J36" s="85"/>
      <c r="K36" s="15" t="s">
        <v>388</v>
      </c>
      <c r="L36" s="9" t="s">
        <v>287</v>
      </c>
      <c r="M36" s="88" t="s">
        <v>371</v>
      </c>
      <c r="N36" s="85"/>
      <c r="O36" s="9" t="s">
        <v>289</v>
      </c>
    </row>
    <row r="37" spans="1:15" ht="11.4" customHeight="1" x14ac:dyDescent="0.3">
      <c r="A37" s="101" t="s">
        <v>789</v>
      </c>
      <c r="B37" s="84"/>
      <c r="C37" s="85"/>
      <c r="D37" s="9" t="s">
        <v>435</v>
      </c>
      <c r="E37" s="14" t="s">
        <v>858</v>
      </c>
      <c r="F37" s="11" t="s">
        <v>859</v>
      </c>
      <c r="G37" s="15" t="s">
        <v>605</v>
      </c>
      <c r="H37" s="11" t="s">
        <v>376</v>
      </c>
      <c r="I37" s="141" t="s">
        <v>7</v>
      </c>
      <c r="J37" s="85"/>
      <c r="K37" s="11" t="s">
        <v>471</v>
      </c>
      <c r="L37" s="14" t="s">
        <v>287</v>
      </c>
      <c r="M37" s="88" t="s">
        <v>371</v>
      </c>
      <c r="N37" s="85"/>
      <c r="O37" s="16" t="s">
        <v>289</v>
      </c>
    </row>
    <row r="38" spans="1:15" ht="11.4" customHeight="1" x14ac:dyDescent="0.3">
      <c r="A38" s="88" t="s">
        <v>789</v>
      </c>
      <c r="B38" s="84"/>
      <c r="C38" s="85"/>
      <c r="D38" s="14" t="s">
        <v>860</v>
      </c>
      <c r="E38" s="9" t="s">
        <v>861</v>
      </c>
      <c r="F38" s="15" t="s">
        <v>344</v>
      </c>
      <c r="G38" s="11" t="s">
        <v>862</v>
      </c>
      <c r="H38" s="15" t="s">
        <v>863</v>
      </c>
      <c r="I38" s="141" t="s">
        <v>7</v>
      </c>
      <c r="J38" s="85"/>
      <c r="K38" s="15" t="s">
        <v>864</v>
      </c>
      <c r="L38" s="9" t="s">
        <v>287</v>
      </c>
      <c r="M38" s="88" t="s">
        <v>371</v>
      </c>
      <c r="N38" s="85"/>
      <c r="O38" s="9" t="s">
        <v>289</v>
      </c>
    </row>
    <row r="39" spans="1:15" ht="11.4" customHeight="1" x14ac:dyDescent="0.3">
      <c r="A39" s="101" t="s">
        <v>789</v>
      </c>
      <c r="B39" s="84"/>
      <c r="C39" s="85"/>
      <c r="D39" s="9" t="s">
        <v>865</v>
      </c>
      <c r="E39" s="14" t="s">
        <v>866</v>
      </c>
      <c r="F39" s="11" t="s">
        <v>750</v>
      </c>
      <c r="G39" s="15" t="s">
        <v>867</v>
      </c>
      <c r="H39" s="11" t="s">
        <v>868</v>
      </c>
      <c r="I39" s="141" t="s">
        <v>7</v>
      </c>
      <c r="J39" s="85"/>
      <c r="K39" s="11" t="s">
        <v>869</v>
      </c>
      <c r="L39" s="14" t="s">
        <v>287</v>
      </c>
      <c r="M39" s="88" t="s">
        <v>371</v>
      </c>
      <c r="N39" s="85"/>
      <c r="O39" s="16" t="s">
        <v>309</v>
      </c>
    </row>
    <row r="40" spans="1:15" ht="11.4" customHeight="1" x14ac:dyDescent="0.3">
      <c r="A40" s="88" t="s">
        <v>789</v>
      </c>
      <c r="B40" s="84"/>
      <c r="C40" s="85"/>
      <c r="D40" s="14" t="s">
        <v>870</v>
      </c>
      <c r="E40" s="9" t="s">
        <v>871</v>
      </c>
      <c r="F40" s="15" t="s">
        <v>872</v>
      </c>
      <c r="G40" s="11" t="s">
        <v>873</v>
      </c>
      <c r="H40" s="15" t="s">
        <v>874</v>
      </c>
      <c r="I40" s="141" t="s">
        <v>7</v>
      </c>
      <c r="J40" s="85"/>
      <c r="K40" s="15" t="s">
        <v>388</v>
      </c>
      <c r="L40" s="9" t="s">
        <v>287</v>
      </c>
      <c r="M40" s="88" t="s">
        <v>371</v>
      </c>
      <c r="N40" s="85"/>
      <c r="O40" s="9" t="s">
        <v>309</v>
      </c>
    </row>
    <row r="41" spans="1:15" ht="11.4" customHeight="1" x14ac:dyDescent="0.3">
      <c r="A41" s="101" t="s">
        <v>789</v>
      </c>
      <c r="B41" s="84"/>
      <c r="C41" s="85"/>
      <c r="D41" s="9" t="s">
        <v>875</v>
      </c>
      <c r="E41" s="14" t="s">
        <v>876</v>
      </c>
      <c r="F41" s="11" t="s">
        <v>750</v>
      </c>
      <c r="G41" s="15" t="s">
        <v>392</v>
      </c>
      <c r="H41" s="11" t="s">
        <v>433</v>
      </c>
      <c r="I41" s="141" t="s">
        <v>7</v>
      </c>
      <c r="J41" s="85"/>
      <c r="K41" s="11" t="s">
        <v>716</v>
      </c>
      <c r="L41" s="14" t="s">
        <v>287</v>
      </c>
      <c r="M41" s="88" t="s">
        <v>371</v>
      </c>
      <c r="N41" s="85"/>
      <c r="O41" s="16" t="s">
        <v>289</v>
      </c>
    </row>
    <row r="42" spans="1:15" ht="11.4" customHeight="1" x14ac:dyDescent="0.3">
      <c r="A42" s="88" t="s">
        <v>789</v>
      </c>
      <c r="B42" s="84"/>
      <c r="C42" s="85"/>
      <c r="D42" s="14" t="s">
        <v>877</v>
      </c>
      <c r="E42" s="9" t="s">
        <v>878</v>
      </c>
      <c r="F42" s="15" t="s">
        <v>879</v>
      </c>
      <c r="G42" s="11" t="s">
        <v>306</v>
      </c>
      <c r="H42" s="15" t="s">
        <v>740</v>
      </c>
      <c r="I42" s="141" t="s">
        <v>7</v>
      </c>
      <c r="J42" s="85"/>
      <c r="K42" s="15" t="s">
        <v>880</v>
      </c>
      <c r="L42" s="9" t="s">
        <v>287</v>
      </c>
      <c r="M42" s="88" t="s">
        <v>371</v>
      </c>
      <c r="N42" s="85"/>
      <c r="O42" s="9" t="s">
        <v>289</v>
      </c>
    </row>
    <row r="43" spans="1:15" ht="11.4" customHeight="1" x14ac:dyDescent="0.3">
      <c r="A43" s="101" t="s">
        <v>789</v>
      </c>
      <c r="B43" s="84"/>
      <c r="C43" s="85"/>
      <c r="D43" s="9" t="s">
        <v>417</v>
      </c>
      <c r="E43" s="14" t="s">
        <v>881</v>
      </c>
      <c r="F43" s="11" t="s">
        <v>403</v>
      </c>
      <c r="G43" s="15" t="s">
        <v>882</v>
      </c>
      <c r="H43" s="11" t="s">
        <v>883</v>
      </c>
      <c r="I43" s="141" t="s">
        <v>7</v>
      </c>
      <c r="J43" s="85"/>
      <c r="K43" s="11" t="s">
        <v>884</v>
      </c>
      <c r="L43" s="14" t="s">
        <v>370</v>
      </c>
      <c r="M43" s="88" t="s">
        <v>371</v>
      </c>
      <c r="N43" s="85"/>
      <c r="O43" s="16" t="s">
        <v>289</v>
      </c>
    </row>
    <row r="44" spans="1:15" ht="11.4" customHeight="1" x14ac:dyDescent="0.3">
      <c r="A44" s="88" t="s">
        <v>789</v>
      </c>
      <c r="B44" s="84"/>
      <c r="C44" s="85"/>
      <c r="D44" s="8" t="s">
        <v>885</v>
      </c>
      <c r="E44" s="9" t="s">
        <v>886</v>
      </c>
      <c r="F44" s="10" t="s">
        <v>647</v>
      </c>
      <c r="G44" s="11" t="s">
        <v>887</v>
      </c>
      <c r="H44" s="10" t="s">
        <v>888</v>
      </c>
      <c r="I44" s="141" t="s">
        <v>7</v>
      </c>
      <c r="J44" s="85"/>
      <c r="K44" s="10" t="s">
        <v>406</v>
      </c>
      <c r="L44" s="9" t="s">
        <v>287</v>
      </c>
      <c r="M44" s="88" t="s">
        <v>371</v>
      </c>
      <c r="N44" s="85"/>
      <c r="O44" s="9" t="s">
        <v>289</v>
      </c>
    </row>
    <row r="45" spans="1:15" ht="2.85" customHeight="1" x14ac:dyDescent="0.3"/>
    <row r="46" spans="1:15" ht="11.4" customHeight="1" x14ac:dyDescent="0.3">
      <c r="A46" s="94" t="s">
        <v>478</v>
      </c>
      <c r="B46" s="81"/>
      <c r="C46" s="81"/>
      <c r="D46" s="81"/>
      <c r="E46" s="81"/>
      <c r="F46" s="81"/>
      <c r="G46" s="81"/>
      <c r="H46" s="12" t="s">
        <v>889</v>
      </c>
      <c r="I46" s="142" t="s">
        <v>9</v>
      </c>
      <c r="J46" s="143"/>
      <c r="K46" s="97" t="s">
        <v>291</v>
      </c>
      <c r="L46" s="81"/>
      <c r="M46" s="81"/>
      <c r="N46" s="97" t="s">
        <v>292</v>
      </c>
      <c r="O46" s="81"/>
    </row>
    <row r="47" spans="1:15" ht="11.4" customHeight="1" x14ac:dyDescent="0.3">
      <c r="F47" s="97" t="s">
        <v>293</v>
      </c>
      <c r="G47" s="81"/>
      <c r="H47" s="13" t="s">
        <v>890</v>
      </c>
      <c r="I47" s="144" t="s">
        <v>9</v>
      </c>
      <c r="J47" s="145"/>
      <c r="K47" s="100" t="s">
        <v>295</v>
      </c>
      <c r="L47" s="81"/>
      <c r="M47" s="81"/>
      <c r="N47" s="100" t="s">
        <v>295</v>
      </c>
      <c r="O47" s="81"/>
    </row>
    <row r="48" spans="1:15" ht="20.100000000000001" customHeight="1" x14ac:dyDescent="0.3"/>
    <row r="49" spans="1:15" ht="11.4" customHeight="1" x14ac:dyDescent="0.3">
      <c r="A49" s="91" t="s">
        <v>269</v>
      </c>
      <c r="B49" s="92"/>
      <c r="C49" s="93"/>
      <c r="D49" s="5" t="s">
        <v>270</v>
      </c>
      <c r="E49" s="6" t="s">
        <v>271</v>
      </c>
      <c r="F49" s="5" t="s">
        <v>272</v>
      </c>
      <c r="G49" s="6" t="s">
        <v>273</v>
      </c>
      <c r="H49" s="5" t="s">
        <v>274</v>
      </c>
      <c r="I49" s="120" t="s">
        <v>275</v>
      </c>
      <c r="J49" s="93"/>
      <c r="K49" s="5" t="s">
        <v>276</v>
      </c>
      <c r="L49" s="6" t="s">
        <v>277</v>
      </c>
      <c r="M49" s="83" t="s">
        <v>278</v>
      </c>
      <c r="N49" s="85"/>
      <c r="O49" s="7" t="s">
        <v>279</v>
      </c>
    </row>
    <row r="50" spans="1:15" ht="11.4" customHeight="1" x14ac:dyDescent="0.3">
      <c r="A50" s="88" t="s">
        <v>789</v>
      </c>
      <c r="B50" s="84"/>
      <c r="C50" s="85"/>
      <c r="D50" s="14" t="s">
        <v>522</v>
      </c>
      <c r="E50" s="9" t="s">
        <v>891</v>
      </c>
      <c r="F50" s="15" t="s">
        <v>892</v>
      </c>
      <c r="G50" s="11" t="s">
        <v>410</v>
      </c>
      <c r="H50" s="15" t="s">
        <v>7</v>
      </c>
      <c r="I50" s="117" t="s">
        <v>893</v>
      </c>
      <c r="J50" s="118"/>
      <c r="K50" s="15" t="s">
        <v>894</v>
      </c>
      <c r="L50" s="9" t="s">
        <v>4</v>
      </c>
      <c r="M50" s="88" t="s">
        <v>486</v>
      </c>
      <c r="N50" s="85"/>
      <c r="O50" s="9" t="s">
        <v>309</v>
      </c>
    </row>
    <row r="51" spans="1:15" ht="11.4" customHeight="1" x14ac:dyDescent="0.3">
      <c r="A51" s="101" t="s">
        <v>789</v>
      </c>
      <c r="B51" s="84"/>
      <c r="C51" s="85"/>
      <c r="D51" s="9" t="s">
        <v>550</v>
      </c>
      <c r="E51" s="14" t="s">
        <v>895</v>
      </c>
      <c r="F51" s="11" t="s">
        <v>896</v>
      </c>
      <c r="G51" s="15" t="s">
        <v>897</v>
      </c>
      <c r="H51" s="11" t="s">
        <v>7</v>
      </c>
      <c r="I51" s="117" t="s">
        <v>725</v>
      </c>
      <c r="J51" s="118"/>
      <c r="K51" s="11" t="s">
        <v>641</v>
      </c>
      <c r="L51" s="8" t="s">
        <v>4</v>
      </c>
      <c r="M51" s="88" t="s">
        <v>486</v>
      </c>
      <c r="N51" s="85"/>
      <c r="O51" s="45" t="s">
        <v>289</v>
      </c>
    </row>
    <row r="52" spans="1:15" ht="11.4" customHeight="1" x14ac:dyDescent="0.3">
      <c r="A52" s="88" t="s">
        <v>789</v>
      </c>
      <c r="B52" s="84"/>
      <c r="C52" s="85"/>
      <c r="D52" s="8" t="s">
        <v>540</v>
      </c>
      <c r="E52" s="9" t="s">
        <v>898</v>
      </c>
      <c r="F52" s="10" t="s">
        <v>652</v>
      </c>
      <c r="G52" s="11" t="s">
        <v>512</v>
      </c>
      <c r="H52" s="10" t="s">
        <v>7</v>
      </c>
      <c r="I52" s="117" t="s">
        <v>899</v>
      </c>
      <c r="J52" s="118"/>
      <c r="K52" s="10" t="s">
        <v>667</v>
      </c>
      <c r="L52" s="19" t="s">
        <v>4</v>
      </c>
      <c r="M52" s="105" t="s">
        <v>486</v>
      </c>
      <c r="N52" s="106"/>
      <c r="O52" s="19" t="s">
        <v>309</v>
      </c>
    </row>
    <row r="53" spans="1:15" ht="11.4" customHeight="1" x14ac:dyDescent="0.3">
      <c r="A53" s="111" t="s">
        <v>789</v>
      </c>
      <c r="B53" s="112"/>
      <c r="C53" s="106"/>
      <c r="D53" s="19" t="s">
        <v>498</v>
      </c>
      <c r="E53" s="8" t="s">
        <v>900</v>
      </c>
      <c r="F53" s="20" t="s">
        <v>901</v>
      </c>
      <c r="G53" s="10" t="s">
        <v>902</v>
      </c>
      <c r="H53" s="20" t="s">
        <v>7</v>
      </c>
      <c r="I53" s="124" t="s">
        <v>903</v>
      </c>
      <c r="J53" s="125"/>
      <c r="K53" s="20" t="s">
        <v>637</v>
      </c>
      <c r="L53" s="21" t="s">
        <v>4</v>
      </c>
      <c r="M53" s="110" t="s">
        <v>486</v>
      </c>
      <c r="N53" s="109"/>
      <c r="O53" s="23" t="s">
        <v>289</v>
      </c>
    </row>
    <row r="54" spans="1:15" ht="11.4" customHeight="1" x14ac:dyDescent="0.3">
      <c r="A54" s="110" t="s">
        <v>789</v>
      </c>
      <c r="B54" s="108"/>
      <c r="C54" s="109"/>
      <c r="D54" s="21" t="s">
        <v>504</v>
      </c>
      <c r="E54" s="19" t="s">
        <v>904</v>
      </c>
      <c r="F54" s="22" t="s">
        <v>905</v>
      </c>
      <c r="G54" s="20" t="s">
        <v>906</v>
      </c>
      <c r="H54" s="22" t="s">
        <v>7</v>
      </c>
      <c r="I54" s="135" t="s">
        <v>907</v>
      </c>
      <c r="J54" s="136"/>
      <c r="K54" s="22" t="s">
        <v>589</v>
      </c>
      <c r="L54" s="19" t="s">
        <v>4</v>
      </c>
      <c r="M54" s="110" t="s">
        <v>486</v>
      </c>
      <c r="N54" s="109"/>
      <c r="O54" s="19" t="s">
        <v>309</v>
      </c>
    </row>
    <row r="55" spans="1:15" ht="11.4" customHeight="1" x14ac:dyDescent="0.3">
      <c r="A55" s="107" t="s">
        <v>789</v>
      </c>
      <c r="B55" s="108"/>
      <c r="C55" s="109"/>
      <c r="D55" s="19" t="s">
        <v>517</v>
      </c>
      <c r="E55" s="21" t="s">
        <v>908</v>
      </c>
      <c r="F55" s="20" t="s">
        <v>832</v>
      </c>
      <c r="G55" s="22" t="s">
        <v>775</v>
      </c>
      <c r="H55" s="20" t="s">
        <v>7</v>
      </c>
      <c r="I55" s="135" t="s">
        <v>909</v>
      </c>
      <c r="J55" s="136"/>
      <c r="K55" s="20" t="s">
        <v>576</v>
      </c>
      <c r="L55" s="21" t="s">
        <v>4</v>
      </c>
      <c r="M55" s="110" t="s">
        <v>486</v>
      </c>
      <c r="N55" s="109"/>
      <c r="O55" s="23" t="s">
        <v>289</v>
      </c>
    </row>
    <row r="56" spans="1:15" ht="11.4" customHeight="1" x14ac:dyDescent="0.3">
      <c r="A56" s="110" t="s">
        <v>789</v>
      </c>
      <c r="B56" s="108"/>
      <c r="C56" s="109"/>
      <c r="D56" s="21" t="s">
        <v>545</v>
      </c>
      <c r="E56" s="19" t="s">
        <v>910</v>
      </c>
      <c r="F56" s="22" t="s">
        <v>911</v>
      </c>
      <c r="G56" s="20" t="s">
        <v>669</v>
      </c>
      <c r="H56" s="22" t="s">
        <v>7</v>
      </c>
      <c r="I56" s="135" t="s">
        <v>579</v>
      </c>
      <c r="J56" s="136"/>
      <c r="K56" s="22" t="s">
        <v>681</v>
      </c>
      <c r="L56" s="19" t="s">
        <v>4</v>
      </c>
      <c r="M56" s="110" t="s">
        <v>486</v>
      </c>
      <c r="N56" s="109"/>
      <c r="O56" s="19" t="s">
        <v>309</v>
      </c>
    </row>
    <row r="57" spans="1:15" ht="11.4" customHeight="1" x14ac:dyDescent="0.3">
      <c r="A57" s="107" t="s">
        <v>789</v>
      </c>
      <c r="B57" s="108"/>
      <c r="C57" s="109"/>
      <c r="D57" s="19" t="s">
        <v>493</v>
      </c>
      <c r="E57" s="21" t="s">
        <v>912</v>
      </c>
      <c r="F57" s="20" t="s">
        <v>913</v>
      </c>
      <c r="G57" s="22" t="s">
        <v>914</v>
      </c>
      <c r="H57" s="20" t="s">
        <v>7</v>
      </c>
      <c r="I57" s="135" t="s">
        <v>393</v>
      </c>
      <c r="J57" s="136"/>
      <c r="K57" s="20" t="s">
        <v>521</v>
      </c>
      <c r="L57" s="21" t="s">
        <v>4</v>
      </c>
      <c r="M57" s="110" t="s">
        <v>486</v>
      </c>
      <c r="N57" s="109"/>
      <c r="O57" s="23" t="s">
        <v>289</v>
      </c>
    </row>
    <row r="58" spans="1:15" ht="11.4" customHeight="1" x14ac:dyDescent="0.3">
      <c r="A58" s="151" t="s">
        <v>789</v>
      </c>
      <c r="B58" s="152"/>
      <c r="C58" s="103"/>
      <c r="D58" s="48" t="s">
        <v>510</v>
      </c>
      <c r="E58" s="49" t="s">
        <v>915</v>
      </c>
      <c r="F58" s="50" t="s">
        <v>665</v>
      </c>
      <c r="G58" s="51" t="s">
        <v>916</v>
      </c>
      <c r="H58" s="50" t="s">
        <v>7</v>
      </c>
      <c r="I58" s="135" t="s">
        <v>917</v>
      </c>
      <c r="J58" s="136"/>
      <c r="K58" s="50" t="s">
        <v>521</v>
      </c>
      <c r="L58" s="49" t="s">
        <v>4</v>
      </c>
      <c r="M58" s="151" t="s">
        <v>486</v>
      </c>
      <c r="N58" s="103"/>
      <c r="O58" s="49" t="s">
        <v>289</v>
      </c>
    </row>
    <row r="59" spans="1:15" ht="11.4" customHeight="1" x14ac:dyDescent="0.3">
      <c r="A59" s="107" t="s">
        <v>789</v>
      </c>
      <c r="B59" s="108"/>
      <c r="C59" s="109"/>
      <c r="D59" s="19" t="s">
        <v>654</v>
      </c>
      <c r="E59" s="21" t="s">
        <v>918</v>
      </c>
      <c r="F59" s="20" t="s">
        <v>919</v>
      </c>
      <c r="G59" s="22" t="s">
        <v>920</v>
      </c>
      <c r="H59" s="20" t="s">
        <v>7</v>
      </c>
      <c r="I59" s="135" t="s">
        <v>921</v>
      </c>
      <c r="J59" s="136"/>
      <c r="K59" s="20" t="s">
        <v>922</v>
      </c>
      <c r="L59" s="21" t="s">
        <v>4</v>
      </c>
      <c r="M59" s="110" t="s">
        <v>486</v>
      </c>
      <c r="N59" s="109"/>
      <c r="O59" s="23" t="s">
        <v>309</v>
      </c>
    </row>
    <row r="60" spans="1:15" ht="11.4" customHeight="1" x14ac:dyDescent="0.3">
      <c r="A60" s="110" t="s">
        <v>789</v>
      </c>
      <c r="B60" s="108"/>
      <c r="C60" s="109"/>
      <c r="D60" s="21" t="s">
        <v>412</v>
      </c>
      <c r="E60" s="19" t="s">
        <v>923</v>
      </c>
      <c r="F60" s="22" t="s">
        <v>924</v>
      </c>
      <c r="G60" s="20" t="s">
        <v>695</v>
      </c>
      <c r="H60" s="22" t="s">
        <v>7</v>
      </c>
      <c r="I60" s="135" t="s">
        <v>925</v>
      </c>
      <c r="J60" s="136"/>
      <c r="K60" s="22" t="s">
        <v>570</v>
      </c>
      <c r="L60" s="19" t="s">
        <v>4</v>
      </c>
      <c r="M60" s="110" t="s">
        <v>486</v>
      </c>
      <c r="N60" s="109"/>
      <c r="O60" s="19" t="s">
        <v>309</v>
      </c>
    </row>
    <row r="61" spans="1:15" ht="11.4" customHeight="1" x14ac:dyDescent="0.3">
      <c r="A61" s="121" t="s">
        <v>789</v>
      </c>
      <c r="B61" s="92"/>
      <c r="C61" s="93"/>
      <c r="D61" s="19" t="s">
        <v>535</v>
      </c>
      <c r="E61" s="25" t="s">
        <v>926</v>
      </c>
      <c r="F61" s="20" t="s">
        <v>927</v>
      </c>
      <c r="G61" s="24" t="s">
        <v>928</v>
      </c>
      <c r="H61" s="20" t="s">
        <v>7</v>
      </c>
      <c r="I61" s="122" t="s">
        <v>929</v>
      </c>
      <c r="J61" s="123"/>
      <c r="K61" s="20" t="s">
        <v>884</v>
      </c>
      <c r="L61" s="25" t="s">
        <v>4</v>
      </c>
      <c r="M61" s="110" t="s">
        <v>486</v>
      </c>
      <c r="N61" s="109"/>
      <c r="O61" s="26" t="s">
        <v>309</v>
      </c>
    </row>
    <row r="62" spans="1:15" ht="11.4" customHeight="1" x14ac:dyDescent="0.3">
      <c r="A62" s="88" t="s">
        <v>789</v>
      </c>
      <c r="B62" s="84"/>
      <c r="C62" s="85"/>
      <c r="D62" s="21" t="s">
        <v>522</v>
      </c>
      <c r="E62" s="9" t="s">
        <v>930</v>
      </c>
      <c r="F62" s="22" t="s">
        <v>758</v>
      </c>
      <c r="G62" s="11" t="s">
        <v>525</v>
      </c>
      <c r="H62" s="22" t="s">
        <v>7</v>
      </c>
      <c r="I62" s="117" t="s">
        <v>405</v>
      </c>
      <c r="J62" s="118"/>
      <c r="K62" s="22" t="s">
        <v>503</v>
      </c>
      <c r="L62" s="9" t="s">
        <v>4</v>
      </c>
      <c r="M62" s="110" t="s">
        <v>486</v>
      </c>
      <c r="N62" s="109"/>
      <c r="O62" s="9" t="s">
        <v>309</v>
      </c>
    </row>
    <row r="63" spans="1:15" ht="14.25" customHeight="1" x14ac:dyDescent="0.3"/>
    <row r="64" spans="1:15" ht="14.25" customHeight="1" x14ac:dyDescent="0.3">
      <c r="A64" s="126" t="s">
        <v>931</v>
      </c>
      <c r="B64" s="81"/>
      <c r="C64" s="81"/>
      <c r="D64" s="81"/>
      <c r="E64" s="81"/>
      <c r="F64" s="81"/>
      <c r="G64" s="81"/>
      <c r="H64" s="81"/>
      <c r="I64" s="81"/>
      <c r="J64" s="127" t="s">
        <v>516</v>
      </c>
      <c r="K64" s="81"/>
      <c r="L64" s="81"/>
      <c r="M64" s="81"/>
      <c r="N64" s="81"/>
      <c r="O64" s="81"/>
    </row>
    <row r="65" spans="1:15" ht="0.6" customHeight="1" x14ac:dyDescent="0.3"/>
    <row r="66" spans="1:15" ht="11.4" customHeight="1" x14ac:dyDescent="0.3">
      <c r="A66" s="121" t="s">
        <v>789</v>
      </c>
      <c r="B66" s="92"/>
      <c r="C66" s="93"/>
      <c r="D66" s="9" t="s">
        <v>504</v>
      </c>
      <c r="E66" s="25" t="s">
        <v>932</v>
      </c>
      <c r="F66" s="11" t="s">
        <v>933</v>
      </c>
      <c r="G66" s="24" t="s">
        <v>934</v>
      </c>
      <c r="H66" s="11" t="s">
        <v>7</v>
      </c>
      <c r="I66" s="122" t="s">
        <v>935</v>
      </c>
      <c r="J66" s="123"/>
      <c r="K66" s="11" t="s">
        <v>509</v>
      </c>
      <c r="L66" s="25" t="s">
        <v>4</v>
      </c>
      <c r="M66" s="88" t="s">
        <v>486</v>
      </c>
      <c r="N66" s="85"/>
      <c r="O66" s="26" t="s">
        <v>309</v>
      </c>
    </row>
    <row r="67" spans="1:15" ht="11.4" customHeight="1" x14ac:dyDescent="0.3">
      <c r="A67" s="88" t="s">
        <v>789</v>
      </c>
      <c r="B67" s="84"/>
      <c r="C67" s="85"/>
      <c r="D67" s="14" t="s">
        <v>498</v>
      </c>
      <c r="E67" s="9" t="s">
        <v>936</v>
      </c>
      <c r="F67" s="15" t="s">
        <v>937</v>
      </c>
      <c r="G67" s="11" t="s">
        <v>775</v>
      </c>
      <c r="H67" s="15" t="s">
        <v>7</v>
      </c>
      <c r="I67" s="117" t="s">
        <v>645</v>
      </c>
      <c r="J67" s="118"/>
      <c r="K67" s="15" t="s">
        <v>894</v>
      </c>
      <c r="L67" s="9" t="s">
        <v>4</v>
      </c>
      <c r="M67" s="88" t="s">
        <v>486</v>
      </c>
      <c r="N67" s="85"/>
      <c r="O67" s="9" t="s">
        <v>289</v>
      </c>
    </row>
    <row r="68" spans="1:15" ht="11.4" customHeight="1" x14ac:dyDescent="0.3">
      <c r="A68" s="101" t="s">
        <v>789</v>
      </c>
      <c r="B68" s="84"/>
      <c r="C68" s="85"/>
      <c r="D68" s="9" t="s">
        <v>550</v>
      </c>
      <c r="E68" s="14" t="s">
        <v>938</v>
      </c>
      <c r="F68" s="11" t="s">
        <v>529</v>
      </c>
      <c r="G68" s="15" t="s">
        <v>673</v>
      </c>
      <c r="H68" s="11" t="s">
        <v>7</v>
      </c>
      <c r="I68" s="117" t="s">
        <v>939</v>
      </c>
      <c r="J68" s="118"/>
      <c r="K68" s="11" t="s">
        <v>534</v>
      </c>
      <c r="L68" s="14" t="s">
        <v>4</v>
      </c>
      <c r="M68" s="88" t="s">
        <v>486</v>
      </c>
      <c r="N68" s="85"/>
      <c r="O68" s="16" t="s">
        <v>289</v>
      </c>
    </row>
    <row r="69" spans="1:15" ht="11.4" customHeight="1" x14ac:dyDescent="0.3">
      <c r="A69" s="88" t="s">
        <v>789</v>
      </c>
      <c r="B69" s="84"/>
      <c r="C69" s="85"/>
      <c r="D69" s="14" t="s">
        <v>540</v>
      </c>
      <c r="E69" s="9" t="s">
        <v>940</v>
      </c>
      <c r="F69" s="15" t="s">
        <v>941</v>
      </c>
      <c r="G69" s="11" t="s">
        <v>897</v>
      </c>
      <c r="H69" s="15" t="s">
        <v>7</v>
      </c>
      <c r="I69" s="117" t="s">
        <v>736</v>
      </c>
      <c r="J69" s="118"/>
      <c r="K69" s="15" t="s">
        <v>584</v>
      </c>
      <c r="L69" s="9" t="s">
        <v>4</v>
      </c>
      <c r="M69" s="88" t="s">
        <v>486</v>
      </c>
      <c r="N69" s="85"/>
      <c r="O69" s="9" t="s">
        <v>309</v>
      </c>
    </row>
    <row r="70" spans="1:15" ht="11.4" customHeight="1" x14ac:dyDescent="0.3">
      <c r="A70" s="101" t="s">
        <v>789</v>
      </c>
      <c r="B70" s="84"/>
      <c r="C70" s="85"/>
      <c r="D70" s="9" t="s">
        <v>566</v>
      </c>
      <c r="E70" s="14" t="s">
        <v>942</v>
      </c>
      <c r="F70" s="11" t="s">
        <v>943</v>
      </c>
      <c r="G70" s="15" t="s">
        <v>944</v>
      </c>
      <c r="H70" s="11" t="s">
        <v>7</v>
      </c>
      <c r="I70" s="117" t="s">
        <v>945</v>
      </c>
      <c r="J70" s="118"/>
      <c r="K70" s="11" t="s">
        <v>570</v>
      </c>
      <c r="L70" s="14" t="s">
        <v>4</v>
      </c>
      <c r="M70" s="88" t="s">
        <v>486</v>
      </c>
      <c r="N70" s="85"/>
      <c r="O70" s="16" t="s">
        <v>309</v>
      </c>
    </row>
    <row r="71" spans="1:15" ht="11.4" customHeight="1" x14ac:dyDescent="0.3">
      <c r="A71" s="88" t="s">
        <v>789</v>
      </c>
      <c r="B71" s="84"/>
      <c r="C71" s="85"/>
      <c r="D71" s="14" t="s">
        <v>517</v>
      </c>
      <c r="E71" s="9" t="s">
        <v>946</v>
      </c>
      <c r="F71" s="15" t="s">
        <v>665</v>
      </c>
      <c r="G71" s="11" t="s">
        <v>775</v>
      </c>
      <c r="H71" s="15" t="s">
        <v>7</v>
      </c>
      <c r="I71" s="117" t="s">
        <v>947</v>
      </c>
      <c r="J71" s="118"/>
      <c r="K71" s="15" t="s">
        <v>527</v>
      </c>
      <c r="L71" s="9" t="s">
        <v>4</v>
      </c>
      <c r="M71" s="88" t="s">
        <v>486</v>
      </c>
      <c r="N71" s="85"/>
      <c r="O71" s="9" t="s">
        <v>289</v>
      </c>
    </row>
    <row r="72" spans="1:15" ht="11.4" customHeight="1" x14ac:dyDescent="0.3">
      <c r="A72" s="88" t="s">
        <v>789</v>
      </c>
      <c r="B72" s="84"/>
      <c r="C72" s="85"/>
      <c r="D72" s="9" t="s">
        <v>948</v>
      </c>
      <c r="E72" s="9" t="s">
        <v>949</v>
      </c>
      <c r="F72" s="11" t="s">
        <v>950</v>
      </c>
      <c r="G72" s="11" t="s">
        <v>951</v>
      </c>
      <c r="H72" s="11" t="s">
        <v>7</v>
      </c>
      <c r="I72" s="117" t="s">
        <v>952</v>
      </c>
      <c r="J72" s="118"/>
      <c r="K72" s="11" t="s">
        <v>884</v>
      </c>
      <c r="L72" s="9" t="s">
        <v>4</v>
      </c>
      <c r="M72" s="88" t="s">
        <v>486</v>
      </c>
      <c r="N72" s="85"/>
      <c r="O72" s="9" t="s">
        <v>289</v>
      </c>
    </row>
    <row r="73" spans="1:15" ht="2.85" customHeight="1" x14ac:dyDescent="0.3"/>
    <row r="74" spans="1:15" ht="11.4" customHeight="1" x14ac:dyDescent="0.3">
      <c r="A74" s="94" t="s">
        <v>612</v>
      </c>
      <c r="B74" s="81"/>
      <c r="C74" s="81"/>
      <c r="D74" s="81"/>
      <c r="E74" s="81"/>
      <c r="F74" s="81"/>
      <c r="G74" s="81"/>
      <c r="H74" s="12" t="s">
        <v>9</v>
      </c>
      <c r="I74" s="142" t="s">
        <v>953</v>
      </c>
      <c r="J74" s="143"/>
      <c r="K74" s="97" t="s">
        <v>291</v>
      </c>
      <c r="L74" s="81"/>
      <c r="M74" s="81"/>
      <c r="N74" s="97" t="s">
        <v>292</v>
      </c>
      <c r="O74" s="81"/>
    </row>
    <row r="75" spans="1:15" ht="11.4" customHeight="1" x14ac:dyDescent="0.3">
      <c r="F75" s="97" t="s">
        <v>293</v>
      </c>
      <c r="G75" s="81"/>
      <c r="H75" s="13" t="s">
        <v>9</v>
      </c>
      <c r="I75" s="144" t="s">
        <v>954</v>
      </c>
      <c r="J75" s="145"/>
      <c r="K75" s="100" t="s">
        <v>295</v>
      </c>
      <c r="L75" s="81"/>
      <c r="M75" s="81"/>
      <c r="N75" s="100" t="s">
        <v>295</v>
      </c>
      <c r="O75" s="81"/>
    </row>
    <row r="76" spans="1:15" ht="408.9" customHeight="1" x14ac:dyDescent="0.3"/>
    <row r="77" spans="1:15" ht="266.39999999999998" customHeight="1" x14ac:dyDescent="0.3"/>
    <row r="78" spans="1:15" ht="14.25" customHeight="1" x14ac:dyDescent="0.3">
      <c r="A78" s="126" t="s">
        <v>931</v>
      </c>
      <c r="B78" s="81"/>
      <c r="C78" s="81"/>
      <c r="D78" s="81"/>
      <c r="E78" s="81"/>
      <c r="F78" s="81"/>
      <c r="G78" s="81"/>
      <c r="H78" s="81"/>
      <c r="I78" s="81"/>
      <c r="J78" s="127" t="s">
        <v>615</v>
      </c>
      <c r="K78" s="81"/>
      <c r="L78" s="81"/>
      <c r="M78" s="81"/>
      <c r="N78" s="81"/>
      <c r="O78" s="81"/>
    </row>
    <row r="79" spans="1:15" ht="11.4" customHeight="1" x14ac:dyDescent="0.3"/>
  </sheetData>
  <mergeCells count="193">
    <mergeCell ref="F75:G75"/>
    <mergeCell ref="I75:J75"/>
    <mergeCell ref="K75:M75"/>
    <mergeCell ref="N75:O75"/>
    <mergeCell ref="A78:I78"/>
    <mergeCell ref="J78:O78"/>
    <mergeCell ref="A72:C72"/>
    <mergeCell ref="I72:J72"/>
    <mergeCell ref="M72:N72"/>
    <mergeCell ref="A74:G74"/>
    <mergeCell ref="I74:J74"/>
    <mergeCell ref="K74:M74"/>
    <mergeCell ref="N74:O74"/>
    <mergeCell ref="A70:C70"/>
    <mergeCell ref="I70:J70"/>
    <mergeCell ref="M70:N70"/>
    <mergeCell ref="A71:C71"/>
    <mergeCell ref="I71:J71"/>
    <mergeCell ref="M71:N71"/>
    <mergeCell ref="A68:C68"/>
    <mergeCell ref="I68:J68"/>
    <mergeCell ref="M68:N68"/>
    <mergeCell ref="A69:C69"/>
    <mergeCell ref="I69:J69"/>
    <mergeCell ref="M69:N69"/>
    <mergeCell ref="A64:I64"/>
    <mergeCell ref="J64:O64"/>
    <mergeCell ref="A66:C66"/>
    <mergeCell ref="I66:J66"/>
    <mergeCell ref="M66:N66"/>
    <mergeCell ref="A67:C67"/>
    <mergeCell ref="I67:J67"/>
    <mergeCell ref="M67:N67"/>
    <mergeCell ref="A61:C61"/>
    <mergeCell ref="I61:J61"/>
    <mergeCell ref="M61:N61"/>
    <mergeCell ref="A62:C62"/>
    <mergeCell ref="I62:J62"/>
    <mergeCell ref="M62:N62"/>
    <mergeCell ref="A59:C59"/>
    <mergeCell ref="I59:J59"/>
    <mergeCell ref="M59:N59"/>
    <mergeCell ref="A60:C60"/>
    <mergeCell ref="I60:J60"/>
    <mergeCell ref="M60:N60"/>
    <mergeCell ref="A57:C57"/>
    <mergeCell ref="I57:J57"/>
    <mergeCell ref="M57:N57"/>
    <mergeCell ref="A58:C58"/>
    <mergeCell ref="I58:J58"/>
    <mergeCell ref="M58:N58"/>
    <mergeCell ref="A55:C55"/>
    <mergeCell ref="I55:J55"/>
    <mergeCell ref="M55:N55"/>
    <mergeCell ref="A56:C56"/>
    <mergeCell ref="I56:J56"/>
    <mergeCell ref="M56:N56"/>
    <mergeCell ref="A53:C53"/>
    <mergeCell ref="I53:J53"/>
    <mergeCell ref="M53:N53"/>
    <mergeCell ref="A54:C54"/>
    <mergeCell ref="I54:J54"/>
    <mergeCell ref="M54:N54"/>
    <mergeCell ref="A51:C51"/>
    <mergeCell ref="I51:J51"/>
    <mergeCell ref="M51:N51"/>
    <mergeCell ref="A52:C52"/>
    <mergeCell ref="I52:J52"/>
    <mergeCell ref="M52:N52"/>
    <mergeCell ref="A49:C49"/>
    <mergeCell ref="I49:J49"/>
    <mergeCell ref="M49:N49"/>
    <mergeCell ref="A50:C50"/>
    <mergeCell ref="I50:J50"/>
    <mergeCell ref="M50:N50"/>
    <mergeCell ref="A46:G46"/>
    <mergeCell ref="I46:J46"/>
    <mergeCell ref="K46:M46"/>
    <mergeCell ref="N46:O46"/>
    <mergeCell ref="F47:G47"/>
    <mergeCell ref="I47:J47"/>
    <mergeCell ref="K47:M47"/>
    <mergeCell ref="N47:O47"/>
    <mergeCell ref="A43:C43"/>
    <mergeCell ref="I43:J43"/>
    <mergeCell ref="M43:N43"/>
    <mergeCell ref="A44:C44"/>
    <mergeCell ref="I44:J44"/>
    <mergeCell ref="M44:N44"/>
    <mergeCell ref="A41:C41"/>
    <mergeCell ref="I41:J41"/>
    <mergeCell ref="M41:N41"/>
    <mergeCell ref="A42:C42"/>
    <mergeCell ref="I42:J42"/>
    <mergeCell ref="M42:N42"/>
    <mergeCell ref="A39:C39"/>
    <mergeCell ref="I39:J39"/>
    <mergeCell ref="M39:N39"/>
    <mergeCell ref="A40:C40"/>
    <mergeCell ref="I40:J40"/>
    <mergeCell ref="M40:N40"/>
    <mergeCell ref="A37:C37"/>
    <mergeCell ref="I37:J37"/>
    <mergeCell ref="M37:N37"/>
    <mergeCell ref="A38:C38"/>
    <mergeCell ref="I38:J38"/>
    <mergeCell ref="M38:N38"/>
    <mergeCell ref="A35:C35"/>
    <mergeCell ref="I35:J35"/>
    <mergeCell ref="M35:N35"/>
    <mergeCell ref="A36:C36"/>
    <mergeCell ref="I36:J36"/>
    <mergeCell ref="M36:N36"/>
    <mergeCell ref="A33:C33"/>
    <mergeCell ref="I33:J33"/>
    <mergeCell ref="M33:N33"/>
    <mergeCell ref="A34:C34"/>
    <mergeCell ref="I34:J34"/>
    <mergeCell ref="M34:N34"/>
    <mergeCell ref="A30:G30"/>
    <mergeCell ref="I30:J30"/>
    <mergeCell ref="K30:M30"/>
    <mergeCell ref="N30:O30"/>
    <mergeCell ref="F31:G31"/>
    <mergeCell ref="I31:J31"/>
    <mergeCell ref="K31:M31"/>
    <mergeCell ref="N31:O31"/>
    <mergeCell ref="A27:C27"/>
    <mergeCell ref="I27:J27"/>
    <mergeCell ref="M27:N27"/>
    <mergeCell ref="A28:C28"/>
    <mergeCell ref="I28:J28"/>
    <mergeCell ref="M28:N28"/>
    <mergeCell ref="A25:C25"/>
    <mergeCell ref="I25:J25"/>
    <mergeCell ref="M25:N25"/>
    <mergeCell ref="A26:C26"/>
    <mergeCell ref="I26:J26"/>
    <mergeCell ref="M26:N26"/>
    <mergeCell ref="A23:C23"/>
    <mergeCell ref="I23:J23"/>
    <mergeCell ref="M23:N23"/>
    <mergeCell ref="A24:C24"/>
    <mergeCell ref="I24:J24"/>
    <mergeCell ref="M24:N24"/>
    <mergeCell ref="A20:G20"/>
    <mergeCell ref="I20:J20"/>
    <mergeCell ref="K20:M20"/>
    <mergeCell ref="N20:O20"/>
    <mergeCell ref="F21:G21"/>
    <mergeCell ref="I21:J21"/>
    <mergeCell ref="K21:M21"/>
    <mergeCell ref="N21:O21"/>
    <mergeCell ref="A17:C17"/>
    <mergeCell ref="I17:J17"/>
    <mergeCell ref="M17:N17"/>
    <mergeCell ref="A18:C18"/>
    <mergeCell ref="I18:J18"/>
    <mergeCell ref="M18:N18"/>
    <mergeCell ref="A15:C15"/>
    <mergeCell ref="I15:J15"/>
    <mergeCell ref="M15:N15"/>
    <mergeCell ref="A16:C16"/>
    <mergeCell ref="I16:J16"/>
    <mergeCell ref="M16:N16"/>
    <mergeCell ref="F12:G12"/>
    <mergeCell ref="I12:J12"/>
    <mergeCell ref="K12:M12"/>
    <mergeCell ref="N12:O12"/>
    <mergeCell ref="A14:C14"/>
    <mergeCell ref="I14:J14"/>
    <mergeCell ref="M14:N14"/>
    <mergeCell ref="A9:C9"/>
    <mergeCell ref="I9:J9"/>
    <mergeCell ref="M9:N9"/>
    <mergeCell ref="A11:G11"/>
    <mergeCell ref="I11:J11"/>
    <mergeCell ref="K11:M11"/>
    <mergeCell ref="N11:O11"/>
    <mergeCell ref="A7:C7"/>
    <mergeCell ref="I7:J7"/>
    <mergeCell ref="M7:N7"/>
    <mergeCell ref="A8:C8"/>
    <mergeCell ref="I8:J8"/>
    <mergeCell ref="M8:N8"/>
    <mergeCell ref="A1:O1"/>
    <mergeCell ref="C3:O3"/>
    <mergeCell ref="A5:C5"/>
    <mergeCell ref="I5:J5"/>
    <mergeCell ref="M5:N5"/>
    <mergeCell ref="A6:C6"/>
    <mergeCell ref="I6:J6"/>
    <mergeCell ref="M6:N6"/>
  </mergeCells>
  <pageMargins left="0.3611111111111111" right="0.3611111111111111" top="0.3611111111111111" bottom="0.3611111111111111" header="0.3" footer="0.3"/>
  <pageSetup orientation="portrait" r:id="rId1"/>
  <rowBreaks count="2" manualBreakCount="2">
    <brk id="65" max="16383" man="1"/>
    <brk id="7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topLeftCell="A31" workbookViewId="0">
      <selection activeCell="I47" sqref="I47:J47"/>
    </sheetView>
  </sheetViews>
  <sheetFormatPr defaultColWidth="9.109375" defaultRowHeight="14.4" x14ac:dyDescent="0.3"/>
  <cols>
    <col min="1" max="1" width="11.109375" style="3" customWidth="1"/>
    <col min="2" max="3" width="0.88671875" style="3" customWidth="1"/>
    <col min="4" max="4" width="12.5546875" style="3" customWidth="1"/>
    <col min="5" max="5" width="10.109375" style="3" customWidth="1"/>
    <col min="6" max="8" width="7.88671875" style="3" customWidth="1"/>
    <col min="9" max="9" width="4.44140625" style="3" customWidth="1"/>
    <col min="10" max="10" width="4" style="3" customWidth="1"/>
    <col min="11" max="12" width="7.33203125" style="3" customWidth="1"/>
    <col min="13" max="13" width="1.5546875" style="3" customWidth="1"/>
    <col min="14" max="14" width="7.88671875" style="3" customWidth="1"/>
    <col min="15" max="15" width="8.33203125" style="3" customWidth="1"/>
    <col min="16" max="256" width="9.109375" style="3"/>
    <col min="257" max="257" width="11.109375" style="3" customWidth="1"/>
    <col min="258" max="259" width="0.88671875" style="3" customWidth="1"/>
    <col min="260" max="260" width="12.5546875" style="3" customWidth="1"/>
    <col min="261" max="261" width="10.109375" style="3" customWidth="1"/>
    <col min="262" max="264" width="7.88671875" style="3" customWidth="1"/>
    <col min="265" max="265" width="4.44140625" style="3" customWidth="1"/>
    <col min="266" max="266" width="4" style="3" customWidth="1"/>
    <col min="267" max="268" width="7.33203125" style="3" customWidth="1"/>
    <col min="269" max="269" width="1.5546875" style="3" customWidth="1"/>
    <col min="270" max="270" width="7.88671875" style="3" customWidth="1"/>
    <col min="271" max="271" width="8.33203125" style="3" customWidth="1"/>
    <col min="272" max="512" width="9.109375" style="3"/>
    <col min="513" max="513" width="11.109375" style="3" customWidth="1"/>
    <col min="514" max="515" width="0.88671875" style="3" customWidth="1"/>
    <col min="516" max="516" width="12.5546875" style="3" customWidth="1"/>
    <col min="517" max="517" width="10.109375" style="3" customWidth="1"/>
    <col min="518" max="520" width="7.88671875" style="3" customWidth="1"/>
    <col min="521" max="521" width="4.44140625" style="3" customWidth="1"/>
    <col min="522" max="522" width="4" style="3" customWidth="1"/>
    <col min="523" max="524" width="7.33203125" style="3" customWidth="1"/>
    <col min="525" max="525" width="1.5546875" style="3" customWidth="1"/>
    <col min="526" max="526" width="7.88671875" style="3" customWidth="1"/>
    <col min="527" max="527" width="8.33203125" style="3" customWidth="1"/>
    <col min="528" max="768" width="9.109375" style="3"/>
    <col min="769" max="769" width="11.109375" style="3" customWidth="1"/>
    <col min="770" max="771" width="0.88671875" style="3" customWidth="1"/>
    <col min="772" max="772" width="12.5546875" style="3" customWidth="1"/>
    <col min="773" max="773" width="10.109375" style="3" customWidth="1"/>
    <col min="774" max="776" width="7.88671875" style="3" customWidth="1"/>
    <col min="777" max="777" width="4.44140625" style="3" customWidth="1"/>
    <col min="778" max="778" width="4" style="3" customWidth="1"/>
    <col min="779" max="780" width="7.33203125" style="3" customWidth="1"/>
    <col min="781" max="781" width="1.5546875" style="3" customWidth="1"/>
    <col min="782" max="782" width="7.88671875" style="3" customWidth="1"/>
    <col min="783" max="783" width="8.33203125" style="3" customWidth="1"/>
    <col min="784" max="1024" width="9.109375" style="3"/>
    <col min="1025" max="1025" width="11.109375" style="3" customWidth="1"/>
    <col min="1026" max="1027" width="0.88671875" style="3" customWidth="1"/>
    <col min="1028" max="1028" width="12.5546875" style="3" customWidth="1"/>
    <col min="1029" max="1029" width="10.109375" style="3" customWidth="1"/>
    <col min="1030" max="1032" width="7.88671875" style="3" customWidth="1"/>
    <col min="1033" max="1033" width="4.44140625" style="3" customWidth="1"/>
    <col min="1034" max="1034" width="4" style="3" customWidth="1"/>
    <col min="1035" max="1036" width="7.33203125" style="3" customWidth="1"/>
    <col min="1037" max="1037" width="1.5546875" style="3" customWidth="1"/>
    <col min="1038" max="1038" width="7.88671875" style="3" customWidth="1"/>
    <col min="1039" max="1039" width="8.33203125" style="3" customWidth="1"/>
    <col min="1040" max="1280" width="9.109375" style="3"/>
    <col min="1281" max="1281" width="11.109375" style="3" customWidth="1"/>
    <col min="1282" max="1283" width="0.88671875" style="3" customWidth="1"/>
    <col min="1284" max="1284" width="12.5546875" style="3" customWidth="1"/>
    <col min="1285" max="1285" width="10.109375" style="3" customWidth="1"/>
    <col min="1286" max="1288" width="7.88671875" style="3" customWidth="1"/>
    <col min="1289" max="1289" width="4.44140625" style="3" customWidth="1"/>
    <col min="1290" max="1290" width="4" style="3" customWidth="1"/>
    <col min="1291" max="1292" width="7.33203125" style="3" customWidth="1"/>
    <col min="1293" max="1293" width="1.5546875" style="3" customWidth="1"/>
    <col min="1294" max="1294" width="7.88671875" style="3" customWidth="1"/>
    <col min="1295" max="1295" width="8.33203125" style="3" customWidth="1"/>
    <col min="1296" max="1536" width="9.109375" style="3"/>
    <col min="1537" max="1537" width="11.109375" style="3" customWidth="1"/>
    <col min="1538" max="1539" width="0.88671875" style="3" customWidth="1"/>
    <col min="1540" max="1540" width="12.5546875" style="3" customWidth="1"/>
    <col min="1541" max="1541" width="10.109375" style="3" customWidth="1"/>
    <col min="1542" max="1544" width="7.88671875" style="3" customWidth="1"/>
    <col min="1545" max="1545" width="4.44140625" style="3" customWidth="1"/>
    <col min="1546" max="1546" width="4" style="3" customWidth="1"/>
    <col min="1547" max="1548" width="7.33203125" style="3" customWidth="1"/>
    <col min="1549" max="1549" width="1.5546875" style="3" customWidth="1"/>
    <col min="1550" max="1550" width="7.88671875" style="3" customWidth="1"/>
    <col min="1551" max="1551" width="8.33203125" style="3" customWidth="1"/>
    <col min="1552" max="1792" width="9.109375" style="3"/>
    <col min="1793" max="1793" width="11.109375" style="3" customWidth="1"/>
    <col min="1794" max="1795" width="0.88671875" style="3" customWidth="1"/>
    <col min="1796" max="1796" width="12.5546875" style="3" customWidth="1"/>
    <col min="1797" max="1797" width="10.109375" style="3" customWidth="1"/>
    <col min="1798" max="1800" width="7.88671875" style="3" customWidth="1"/>
    <col min="1801" max="1801" width="4.44140625" style="3" customWidth="1"/>
    <col min="1802" max="1802" width="4" style="3" customWidth="1"/>
    <col min="1803" max="1804" width="7.33203125" style="3" customWidth="1"/>
    <col min="1805" max="1805" width="1.5546875" style="3" customWidth="1"/>
    <col min="1806" max="1806" width="7.88671875" style="3" customWidth="1"/>
    <col min="1807" max="1807" width="8.33203125" style="3" customWidth="1"/>
    <col min="1808" max="2048" width="9.109375" style="3"/>
    <col min="2049" max="2049" width="11.109375" style="3" customWidth="1"/>
    <col min="2050" max="2051" width="0.88671875" style="3" customWidth="1"/>
    <col min="2052" max="2052" width="12.5546875" style="3" customWidth="1"/>
    <col min="2053" max="2053" width="10.109375" style="3" customWidth="1"/>
    <col min="2054" max="2056" width="7.88671875" style="3" customWidth="1"/>
    <col min="2057" max="2057" width="4.44140625" style="3" customWidth="1"/>
    <col min="2058" max="2058" width="4" style="3" customWidth="1"/>
    <col min="2059" max="2060" width="7.33203125" style="3" customWidth="1"/>
    <col min="2061" max="2061" width="1.5546875" style="3" customWidth="1"/>
    <col min="2062" max="2062" width="7.88671875" style="3" customWidth="1"/>
    <col min="2063" max="2063" width="8.33203125" style="3" customWidth="1"/>
    <col min="2064" max="2304" width="9.109375" style="3"/>
    <col min="2305" max="2305" width="11.109375" style="3" customWidth="1"/>
    <col min="2306" max="2307" width="0.88671875" style="3" customWidth="1"/>
    <col min="2308" max="2308" width="12.5546875" style="3" customWidth="1"/>
    <col min="2309" max="2309" width="10.109375" style="3" customWidth="1"/>
    <col min="2310" max="2312" width="7.88671875" style="3" customWidth="1"/>
    <col min="2313" max="2313" width="4.44140625" style="3" customWidth="1"/>
    <col min="2314" max="2314" width="4" style="3" customWidth="1"/>
    <col min="2315" max="2316" width="7.33203125" style="3" customWidth="1"/>
    <col min="2317" max="2317" width="1.5546875" style="3" customWidth="1"/>
    <col min="2318" max="2318" width="7.88671875" style="3" customWidth="1"/>
    <col min="2319" max="2319" width="8.33203125" style="3" customWidth="1"/>
    <col min="2320" max="2560" width="9.109375" style="3"/>
    <col min="2561" max="2561" width="11.109375" style="3" customWidth="1"/>
    <col min="2562" max="2563" width="0.88671875" style="3" customWidth="1"/>
    <col min="2564" max="2564" width="12.5546875" style="3" customWidth="1"/>
    <col min="2565" max="2565" width="10.109375" style="3" customWidth="1"/>
    <col min="2566" max="2568" width="7.88671875" style="3" customWidth="1"/>
    <col min="2569" max="2569" width="4.44140625" style="3" customWidth="1"/>
    <col min="2570" max="2570" width="4" style="3" customWidth="1"/>
    <col min="2571" max="2572" width="7.33203125" style="3" customWidth="1"/>
    <col min="2573" max="2573" width="1.5546875" style="3" customWidth="1"/>
    <col min="2574" max="2574" width="7.88671875" style="3" customWidth="1"/>
    <col min="2575" max="2575" width="8.33203125" style="3" customWidth="1"/>
    <col min="2576" max="2816" width="9.109375" style="3"/>
    <col min="2817" max="2817" width="11.109375" style="3" customWidth="1"/>
    <col min="2818" max="2819" width="0.88671875" style="3" customWidth="1"/>
    <col min="2820" max="2820" width="12.5546875" style="3" customWidth="1"/>
    <col min="2821" max="2821" width="10.109375" style="3" customWidth="1"/>
    <col min="2822" max="2824" width="7.88671875" style="3" customWidth="1"/>
    <col min="2825" max="2825" width="4.44140625" style="3" customWidth="1"/>
    <col min="2826" max="2826" width="4" style="3" customWidth="1"/>
    <col min="2827" max="2828" width="7.33203125" style="3" customWidth="1"/>
    <col min="2829" max="2829" width="1.5546875" style="3" customWidth="1"/>
    <col min="2830" max="2830" width="7.88671875" style="3" customWidth="1"/>
    <col min="2831" max="2831" width="8.33203125" style="3" customWidth="1"/>
    <col min="2832" max="3072" width="9.109375" style="3"/>
    <col min="3073" max="3073" width="11.109375" style="3" customWidth="1"/>
    <col min="3074" max="3075" width="0.88671875" style="3" customWidth="1"/>
    <col min="3076" max="3076" width="12.5546875" style="3" customWidth="1"/>
    <col min="3077" max="3077" width="10.109375" style="3" customWidth="1"/>
    <col min="3078" max="3080" width="7.88671875" style="3" customWidth="1"/>
    <col min="3081" max="3081" width="4.44140625" style="3" customWidth="1"/>
    <col min="3082" max="3082" width="4" style="3" customWidth="1"/>
    <col min="3083" max="3084" width="7.33203125" style="3" customWidth="1"/>
    <col min="3085" max="3085" width="1.5546875" style="3" customWidth="1"/>
    <col min="3086" max="3086" width="7.88671875" style="3" customWidth="1"/>
    <col min="3087" max="3087" width="8.33203125" style="3" customWidth="1"/>
    <col min="3088" max="3328" width="9.109375" style="3"/>
    <col min="3329" max="3329" width="11.109375" style="3" customWidth="1"/>
    <col min="3330" max="3331" width="0.88671875" style="3" customWidth="1"/>
    <col min="3332" max="3332" width="12.5546875" style="3" customWidth="1"/>
    <col min="3333" max="3333" width="10.109375" style="3" customWidth="1"/>
    <col min="3334" max="3336" width="7.88671875" style="3" customWidth="1"/>
    <col min="3337" max="3337" width="4.44140625" style="3" customWidth="1"/>
    <col min="3338" max="3338" width="4" style="3" customWidth="1"/>
    <col min="3339" max="3340" width="7.33203125" style="3" customWidth="1"/>
    <col min="3341" max="3341" width="1.5546875" style="3" customWidth="1"/>
    <col min="3342" max="3342" width="7.88671875" style="3" customWidth="1"/>
    <col min="3343" max="3343" width="8.33203125" style="3" customWidth="1"/>
    <col min="3344" max="3584" width="9.109375" style="3"/>
    <col min="3585" max="3585" width="11.109375" style="3" customWidth="1"/>
    <col min="3586" max="3587" width="0.88671875" style="3" customWidth="1"/>
    <col min="3588" max="3588" width="12.5546875" style="3" customWidth="1"/>
    <col min="3589" max="3589" width="10.109375" style="3" customWidth="1"/>
    <col min="3590" max="3592" width="7.88671875" style="3" customWidth="1"/>
    <col min="3593" max="3593" width="4.44140625" style="3" customWidth="1"/>
    <col min="3594" max="3594" width="4" style="3" customWidth="1"/>
    <col min="3595" max="3596" width="7.33203125" style="3" customWidth="1"/>
    <col min="3597" max="3597" width="1.5546875" style="3" customWidth="1"/>
    <col min="3598" max="3598" width="7.88671875" style="3" customWidth="1"/>
    <col min="3599" max="3599" width="8.33203125" style="3" customWidth="1"/>
    <col min="3600" max="3840" width="9.109375" style="3"/>
    <col min="3841" max="3841" width="11.109375" style="3" customWidth="1"/>
    <col min="3842" max="3843" width="0.88671875" style="3" customWidth="1"/>
    <col min="3844" max="3844" width="12.5546875" style="3" customWidth="1"/>
    <col min="3845" max="3845" width="10.109375" style="3" customWidth="1"/>
    <col min="3846" max="3848" width="7.88671875" style="3" customWidth="1"/>
    <col min="3849" max="3849" width="4.44140625" style="3" customWidth="1"/>
    <col min="3850" max="3850" width="4" style="3" customWidth="1"/>
    <col min="3851" max="3852" width="7.33203125" style="3" customWidth="1"/>
    <col min="3853" max="3853" width="1.5546875" style="3" customWidth="1"/>
    <col min="3854" max="3854" width="7.88671875" style="3" customWidth="1"/>
    <col min="3855" max="3855" width="8.33203125" style="3" customWidth="1"/>
    <col min="3856" max="4096" width="9.109375" style="3"/>
    <col min="4097" max="4097" width="11.109375" style="3" customWidth="1"/>
    <col min="4098" max="4099" width="0.88671875" style="3" customWidth="1"/>
    <col min="4100" max="4100" width="12.5546875" style="3" customWidth="1"/>
    <col min="4101" max="4101" width="10.109375" style="3" customWidth="1"/>
    <col min="4102" max="4104" width="7.88671875" style="3" customWidth="1"/>
    <col min="4105" max="4105" width="4.44140625" style="3" customWidth="1"/>
    <col min="4106" max="4106" width="4" style="3" customWidth="1"/>
    <col min="4107" max="4108" width="7.33203125" style="3" customWidth="1"/>
    <col min="4109" max="4109" width="1.5546875" style="3" customWidth="1"/>
    <col min="4110" max="4110" width="7.88671875" style="3" customWidth="1"/>
    <col min="4111" max="4111" width="8.33203125" style="3" customWidth="1"/>
    <col min="4112" max="4352" width="9.109375" style="3"/>
    <col min="4353" max="4353" width="11.109375" style="3" customWidth="1"/>
    <col min="4354" max="4355" width="0.88671875" style="3" customWidth="1"/>
    <col min="4356" max="4356" width="12.5546875" style="3" customWidth="1"/>
    <col min="4357" max="4357" width="10.109375" style="3" customWidth="1"/>
    <col min="4358" max="4360" width="7.88671875" style="3" customWidth="1"/>
    <col min="4361" max="4361" width="4.44140625" style="3" customWidth="1"/>
    <col min="4362" max="4362" width="4" style="3" customWidth="1"/>
    <col min="4363" max="4364" width="7.33203125" style="3" customWidth="1"/>
    <col min="4365" max="4365" width="1.5546875" style="3" customWidth="1"/>
    <col min="4366" max="4366" width="7.88671875" style="3" customWidth="1"/>
    <col min="4367" max="4367" width="8.33203125" style="3" customWidth="1"/>
    <col min="4368" max="4608" width="9.109375" style="3"/>
    <col min="4609" max="4609" width="11.109375" style="3" customWidth="1"/>
    <col min="4610" max="4611" width="0.88671875" style="3" customWidth="1"/>
    <col min="4612" max="4612" width="12.5546875" style="3" customWidth="1"/>
    <col min="4613" max="4613" width="10.109375" style="3" customWidth="1"/>
    <col min="4614" max="4616" width="7.88671875" style="3" customWidth="1"/>
    <col min="4617" max="4617" width="4.44140625" style="3" customWidth="1"/>
    <col min="4618" max="4618" width="4" style="3" customWidth="1"/>
    <col min="4619" max="4620" width="7.33203125" style="3" customWidth="1"/>
    <col min="4621" max="4621" width="1.5546875" style="3" customWidth="1"/>
    <col min="4622" max="4622" width="7.88671875" style="3" customWidth="1"/>
    <col min="4623" max="4623" width="8.33203125" style="3" customWidth="1"/>
    <col min="4624" max="4864" width="9.109375" style="3"/>
    <col min="4865" max="4865" width="11.109375" style="3" customWidth="1"/>
    <col min="4866" max="4867" width="0.88671875" style="3" customWidth="1"/>
    <col min="4868" max="4868" width="12.5546875" style="3" customWidth="1"/>
    <col min="4869" max="4869" width="10.109375" style="3" customWidth="1"/>
    <col min="4870" max="4872" width="7.88671875" style="3" customWidth="1"/>
    <col min="4873" max="4873" width="4.44140625" style="3" customWidth="1"/>
    <col min="4874" max="4874" width="4" style="3" customWidth="1"/>
    <col min="4875" max="4876" width="7.33203125" style="3" customWidth="1"/>
    <col min="4877" max="4877" width="1.5546875" style="3" customWidth="1"/>
    <col min="4878" max="4878" width="7.88671875" style="3" customWidth="1"/>
    <col min="4879" max="4879" width="8.33203125" style="3" customWidth="1"/>
    <col min="4880" max="5120" width="9.109375" style="3"/>
    <col min="5121" max="5121" width="11.109375" style="3" customWidth="1"/>
    <col min="5122" max="5123" width="0.88671875" style="3" customWidth="1"/>
    <col min="5124" max="5124" width="12.5546875" style="3" customWidth="1"/>
    <col min="5125" max="5125" width="10.109375" style="3" customWidth="1"/>
    <col min="5126" max="5128" width="7.88671875" style="3" customWidth="1"/>
    <col min="5129" max="5129" width="4.44140625" style="3" customWidth="1"/>
    <col min="5130" max="5130" width="4" style="3" customWidth="1"/>
    <col min="5131" max="5132" width="7.33203125" style="3" customWidth="1"/>
    <col min="5133" max="5133" width="1.5546875" style="3" customWidth="1"/>
    <col min="5134" max="5134" width="7.88671875" style="3" customWidth="1"/>
    <col min="5135" max="5135" width="8.33203125" style="3" customWidth="1"/>
    <col min="5136" max="5376" width="9.109375" style="3"/>
    <col min="5377" max="5377" width="11.109375" style="3" customWidth="1"/>
    <col min="5378" max="5379" width="0.88671875" style="3" customWidth="1"/>
    <col min="5380" max="5380" width="12.5546875" style="3" customWidth="1"/>
    <col min="5381" max="5381" width="10.109375" style="3" customWidth="1"/>
    <col min="5382" max="5384" width="7.88671875" style="3" customWidth="1"/>
    <col min="5385" max="5385" width="4.44140625" style="3" customWidth="1"/>
    <col min="5386" max="5386" width="4" style="3" customWidth="1"/>
    <col min="5387" max="5388" width="7.33203125" style="3" customWidth="1"/>
    <col min="5389" max="5389" width="1.5546875" style="3" customWidth="1"/>
    <col min="5390" max="5390" width="7.88671875" style="3" customWidth="1"/>
    <col min="5391" max="5391" width="8.33203125" style="3" customWidth="1"/>
    <col min="5392" max="5632" width="9.109375" style="3"/>
    <col min="5633" max="5633" width="11.109375" style="3" customWidth="1"/>
    <col min="5634" max="5635" width="0.88671875" style="3" customWidth="1"/>
    <col min="5636" max="5636" width="12.5546875" style="3" customWidth="1"/>
    <col min="5637" max="5637" width="10.109375" style="3" customWidth="1"/>
    <col min="5638" max="5640" width="7.88671875" style="3" customWidth="1"/>
    <col min="5641" max="5641" width="4.44140625" style="3" customWidth="1"/>
    <col min="5642" max="5642" width="4" style="3" customWidth="1"/>
    <col min="5643" max="5644" width="7.33203125" style="3" customWidth="1"/>
    <col min="5645" max="5645" width="1.5546875" style="3" customWidth="1"/>
    <col min="5646" max="5646" width="7.88671875" style="3" customWidth="1"/>
    <col min="5647" max="5647" width="8.33203125" style="3" customWidth="1"/>
    <col min="5648" max="5888" width="9.109375" style="3"/>
    <col min="5889" max="5889" width="11.109375" style="3" customWidth="1"/>
    <col min="5890" max="5891" width="0.88671875" style="3" customWidth="1"/>
    <col min="5892" max="5892" width="12.5546875" style="3" customWidth="1"/>
    <col min="5893" max="5893" width="10.109375" style="3" customWidth="1"/>
    <col min="5894" max="5896" width="7.88671875" style="3" customWidth="1"/>
    <col min="5897" max="5897" width="4.44140625" style="3" customWidth="1"/>
    <col min="5898" max="5898" width="4" style="3" customWidth="1"/>
    <col min="5899" max="5900" width="7.33203125" style="3" customWidth="1"/>
    <col min="5901" max="5901" width="1.5546875" style="3" customWidth="1"/>
    <col min="5902" max="5902" width="7.88671875" style="3" customWidth="1"/>
    <col min="5903" max="5903" width="8.33203125" style="3" customWidth="1"/>
    <col min="5904" max="6144" width="9.109375" style="3"/>
    <col min="6145" max="6145" width="11.109375" style="3" customWidth="1"/>
    <col min="6146" max="6147" width="0.88671875" style="3" customWidth="1"/>
    <col min="6148" max="6148" width="12.5546875" style="3" customWidth="1"/>
    <col min="6149" max="6149" width="10.109375" style="3" customWidth="1"/>
    <col min="6150" max="6152" width="7.88671875" style="3" customWidth="1"/>
    <col min="6153" max="6153" width="4.44140625" style="3" customWidth="1"/>
    <col min="6154" max="6154" width="4" style="3" customWidth="1"/>
    <col min="6155" max="6156" width="7.33203125" style="3" customWidth="1"/>
    <col min="6157" max="6157" width="1.5546875" style="3" customWidth="1"/>
    <col min="6158" max="6158" width="7.88671875" style="3" customWidth="1"/>
    <col min="6159" max="6159" width="8.33203125" style="3" customWidth="1"/>
    <col min="6160" max="6400" width="9.109375" style="3"/>
    <col min="6401" max="6401" width="11.109375" style="3" customWidth="1"/>
    <col min="6402" max="6403" width="0.88671875" style="3" customWidth="1"/>
    <col min="6404" max="6404" width="12.5546875" style="3" customWidth="1"/>
    <col min="6405" max="6405" width="10.109375" style="3" customWidth="1"/>
    <col min="6406" max="6408" width="7.88671875" style="3" customWidth="1"/>
    <col min="6409" max="6409" width="4.44140625" style="3" customWidth="1"/>
    <col min="6410" max="6410" width="4" style="3" customWidth="1"/>
    <col min="6411" max="6412" width="7.33203125" style="3" customWidth="1"/>
    <col min="6413" max="6413" width="1.5546875" style="3" customWidth="1"/>
    <col min="6414" max="6414" width="7.88671875" style="3" customWidth="1"/>
    <col min="6415" max="6415" width="8.33203125" style="3" customWidth="1"/>
    <col min="6416" max="6656" width="9.109375" style="3"/>
    <col min="6657" max="6657" width="11.109375" style="3" customWidth="1"/>
    <col min="6658" max="6659" width="0.88671875" style="3" customWidth="1"/>
    <col min="6660" max="6660" width="12.5546875" style="3" customWidth="1"/>
    <col min="6661" max="6661" width="10.109375" style="3" customWidth="1"/>
    <col min="6662" max="6664" width="7.88671875" style="3" customWidth="1"/>
    <col min="6665" max="6665" width="4.44140625" style="3" customWidth="1"/>
    <col min="6666" max="6666" width="4" style="3" customWidth="1"/>
    <col min="6667" max="6668" width="7.33203125" style="3" customWidth="1"/>
    <col min="6669" max="6669" width="1.5546875" style="3" customWidth="1"/>
    <col min="6670" max="6670" width="7.88671875" style="3" customWidth="1"/>
    <col min="6671" max="6671" width="8.33203125" style="3" customWidth="1"/>
    <col min="6672" max="6912" width="9.109375" style="3"/>
    <col min="6913" max="6913" width="11.109375" style="3" customWidth="1"/>
    <col min="6914" max="6915" width="0.88671875" style="3" customWidth="1"/>
    <col min="6916" max="6916" width="12.5546875" style="3" customWidth="1"/>
    <col min="6917" max="6917" width="10.109375" style="3" customWidth="1"/>
    <col min="6918" max="6920" width="7.88671875" style="3" customWidth="1"/>
    <col min="6921" max="6921" width="4.44140625" style="3" customWidth="1"/>
    <col min="6922" max="6922" width="4" style="3" customWidth="1"/>
    <col min="6923" max="6924" width="7.33203125" style="3" customWidth="1"/>
    <col min="6925" max="6925" width="1.5546875" style="3" customWidth="1"/>
    <col min="6926" max="6926" width="7.88671875" style="3" customWidth="1"/>
    <col min="6927" max="6927" width="8.33203125" style="3" customWidth="1"/>
    <col min="6928" max="7168" width="9.109375" style="3"/>
    <col min="7169" max="7169" width="11.109375" style="3" customWidth="1"/>
    <col min="7170" max="7171" width="0.88671875" style="3" customWidth="1"/>
    <col min="7172" max="7172" width="12.5546875" style="3" customWidth="1"/>
    <col min="7173" max="7173" width="10.109375" style="3" customWidth="1"/>
    <col min="7174" max="7176" width="7.88671875" style="3" customWidth="1"/>
    <col min="7177" max="7177" width="4.44140625" style="3" customWidth="1"/>
    <col min="7178" max="7178" width="4" style="3" customWidth="1"/>
    <col min="7179" max="7180" width="7.33203125" style="3" customWidth="1"/>
    <col min="7181" max="7181" width="1.5546875" style="3" customWidth="1"/>
    <col min="7182" max="7182" width="7.88671875" style="3" customWidth="1"/>
    <col min="7183" max="7183" width="8.33203125" style="3" customWidth="1"/>
    <col min="7184" max="7424" width="9.109375" style="3"/>
    <col min="7425" max="7425" width="11.109375" style="3" customWidth="1"/>
    <col min="7426" max="7427" width="0.88671875" style="3" customWidth="1"/>
    <col min="7428" max="7428" width="12.5546875" style="3" customWidth="1"/>
    <col min="7429" max="7429" width="10.109375" style="3" customWidth="1"/>
    <col min="7430" max="7432" width="7.88671875" style="3" customWidth="1"/>
    <col min="7433" max="7433" width="4.44140625" style="3" customWidth="1"/>
    <col min="7434" max="7434" width="4" style="3" customWidth="1"/>
    <col min="7435" max="7436" width="7.33203125" style="3" customWidth="1"/>
    <col min="7437" max="7437" width="1.5546875" style="3" customWidth="1"/>
    <col min="7438" max="7438" width="7.88671875" style="3" customWidth="1"/>
    <col min="7439" max="7439" width="8.33203125" style="3" customWidth="1"/>
    <col min="7440" max="7680" width="9.109375" style="3"/>
    <col min="7681" max="7681" width="11.109375" style="3" customWidth="1"/>
    <col min="7682" max="7683" width="0.88671875" style="3" customWidth="1"/>
    <col min="7684" max="7684" width="12.5546875" style="3" customWidth="1"/>
    <col min="7685" max="7685" width="10.109375" style="3" customWidth="1"/>
    <col min="7686" max="7688" width="7.88671875" style="3" customWidth="1"/>
    <col min="7689" max="7689" width="4.44140625" style="3" customWidth="1"/>
    <col min="7690" max="7690" width="4" style="3" customWidth="1"/>
    <col min="7691" max="7692" width="7.33203125" style="3" customWidth="1"/>
    <col min="7693" max="7693" width="1.5546875" style="3" customWidth="1"/>
    <col min="7694" max="7694" width="7.88671875" style="3" customWidth="1"/>
    <col min="7695" max="7695" width="8.33203125" style="3" customWidth="1"/>
    <col min="7696" max="7936" width="9.109375" style="3"/>
    <col min="7937" max="7937" width="11.109375" style="3" customWidth="1"/>
    <col min="7938" max="7939" width="0.88671875" style="3" customWidth="1"/>
    <col min="7940" max="7940" width="12.5546875" style="3" customWidth="1"/>
    <col min="7941" max="7941" width="10.109375" style="3" customWidth="1"/>
    <col min="7942" max="7944" width="7.88671875" style="3" customWidth="1"/>
    <col min="7945" max="7945" width="4.44140625" style="3" customWidth="1"/>
    <col min="7946" max="7946" width="4" style="3" customWidth="1"/>
    <col min="7947" max="7948" width="7.33203125" style="3" customWidth="1"/>
    <col min="7949" max="7949" width="1.5546875" style="3" customWidth="1"/>
    <col min="7950" max="7950" width="7.88671875" style="3" customWidth="1"/>
    <col min="7951" max="7951" width="8.33203125" style="3" customWidth="1"/>
    <col min="7952" max="8192" width="9.109375" style="3"/>
    <col min="8193" max="8193" width="11.109375" style="3" customWidth="1"/>
    <col min="8194" max="8195" width="0.88671875" style="3" customWidth="1"/>
    <col min="8196" max="8196" width="12.5546875" style="3" customWidth="1"/>
    <col min="8197" max="8197" width="10.109375" style="3" customWidth="1"/>
    <col min="8198" max="8200" width="7.88671875" style="3" customWidth="1"/>
    <col min="8201" max="8201" width="4.44140625" style="3" customWidth="1"/>
    <col min="8202" max="8202" width="4" style="3" customWidth="1"/>
    <col min="8203" max="8204" width="7.33203125" style="3" customWidth="1"/>
    <col min="8205" max="8205" width="1.5546875" style="3" customWidth="1"/>
    <col min="8206" max="8206" width="7.88671875" style="3" customWidth="1"/>
    <col min="8207" max="8207" width="8.33203125" style="3" customWidth="1"/>
    <col min="8208" max="8448" width="9.109375" style="3"/>
    <col min="8449" max="8449" width="11.109375" style="3" customWidth="1"/>
    <col min="8450" max="8451" width="0.88671875" style="3" customWidth="1"/>
    <col min="8452" max="8452" width="12.5546875" style="3" customWidth="1"/>
    <col min="8453" max="8453" width="10.109375" style="3" customWidth="1"/>
    <col min="8454" max="8456" width="7.88671875" style="3" customWidth="1"/>
    <col min="8457" max="8457" width="4.44140625" style="3" customWidth="1"/>
    <col min="8458" max="8458" width="4" style="3" customWidth="1"/>
    <col min="8459" max="8460" width="7.33203125" style="3" customWidth="1"/>
    <col min="8461" max="8461" width="1.5546875" style="3" customWidth="1"/>
    <col min="8462" max="8462" width="7.88671875" style="3" customWidth="1"/>
    <col min="8463" max="8463" width="8.33203125" style="3" customWidth="1"/>
    <col min="8464" max="8704" width="9.109375" style="3"/>
    <col min="8705" max="8705" width="11.109375" style="3" customWidth="1"/>
    <col min="8706" max="8707" width="0.88671875" style="3" customWidth="1"/>
    <col min="8708" max="8708" width="12.5546875" style="3" customWidth="1"/>
    <col min="8709" max="8709" width="10.109375" style="3" customWidth="1"/>
    <col min="8710" max="8712" width="7.88671875" style="3" customWidth="1"/>
    <col min="8713" max="8713" width="4.44140625" style="3" customWidth="1"/>
    <col min="8714" max="8714" width="4" style="3" customWidth="1"/>
    <col min="8715" max="8716" width="7.33203125" style="3" customWidth="1"/>
    <col min="8717" max="8717" width="1.5546875" style="3" customWidth="1"/>
    <col min="8718" max="8718" width="7.88671875" style="3" customWidth="1"/>
    <col min="8719" max="8719" width="8.33203125" style="3" customWidth="1"/>
    <col min="8720" max="8960" width="9.109375" style="3"/>
    <col min="8961" max="8961" width="11.109375" style="3" customWidth="1"/>
    <col min="8962" max="8963" width="0.88671875" style="3" customWidth="1"/>
    <col min="8964" max="8964" width="12.5546875" style="3" customWidth="1"/>
    <col min="8965" max="8965" width="10.109375" style="3" customWidth="1"/>
    <col min="8966" max="8968" width="7.88671875" style="3" customWidth="1"/>
    <col min="8969" max="8969" width="4.44140625" style="3" customWidth="1"/>
    <col min="8970" max="8970" width="4" style="3" customWidth="1"/>
    <col min="8971" max="8972" width="7.33203125" style="3" customWidth="1"/>
    <col min="8973" max="8973" width="1.5546875" style="3" customWidth="1"/>
    <col min="8974" max="8974" width="7.88671875" style="3" customWidth="1"/>
    <col min="8975" max="8975" width="8.33203125" style="3" customWidth="1"/>
    <col min="8976" max="9216" width="9.109375" style="3"/>
    <col min="9217" max="9217" width="11.109375" style="3" customWidth="1"/>
    <col min="9218" max="9219" width="0.88671875" style="3" customWidth="1"/>
    <col min="9220" max="9220" width="12.5546875" style="3" customWidth="1"/>
    <col min="9221" max="9221" width="10.109375" style="3" customWidth="1"/>
    <col min="9222" max="9224" width="7.88671875" style="3" customWidth="1"/>
    <col min="9225" max="9225" width="4.44140625" style="3" customWidth="1"/>
    <col min="9226" max="9226" width="4" style="3" customWidth="1"/>
    <col min="9227" max="9228" width="7.33203125" style="3" customWidth="1"/>
    <col min="9229" max="9229" width="1.5546875" style="3" customWidth="1"/>
    <col min="9230" max="9230" width="7.88671875" style="3" customWidth="1"/>
    <col min="9231" max="9231" width="8.33203125" style="3" customWidth="1"/>
    <col min="9232" max="9472" width="9.109375" style="3"/>
    <col min="9473" max="9473" width="11.109375" style="3" customWidth="1"/>
    <col min="9474" max="9475" width="0.88671875" style="3" customWidth="1"/>
    <col min="9476" max="9476" width="12.5546875" style="3" customWidth="1"/>
    <col min="9477" max="9477" width="10.109375" style="3" customWidth="1"/>
    <col min="9478" max="9480" width="7.88671875" style="3" customWidth="1"/>
    <col min="9481" max="9481" width="4.44140625" style="3" customWidth="1"/>
    <col min="9482" max="9482" width="4" style="3" customWidth="1"/>
    <col min="9483" max="9484" width="7.33203125" style="3" customWidth="1"/>
    <col min="9485" max="9485" width="1.5546875" style="3" customWidth="1"/>
    <col min="9486" max="9486" width="7.88671875" style="3" customWidth="1"/>
    <col min="9487" max="9487" width="8.33203125" style="3" customWidth="1"/>
    <col min="9488" max="9728" width="9.109375" style="3"/>
    <col min="9729" max="9729" width="11.109375" style="3" customWidth="1"/>
    <col min="9730" max="9731" width="0.88671875" style="3" customWidth="1"/>
    <col min="9732" max="9732" width="12.5546875" style="3" customWidth="1"/>
    <col min="9733" max="9733" width="10.109375" style="3" customWidth="1"/>
    <col min="9734" max="9736" width="7.88671875" style="3" customWidth="1"/>
    <col min="9737" max="9737" width="4.44140625" style="3" customWidth="1"/>
    <col min="9738" max="9738" width="4" style="3" customWidth="1"/>
    <col min="9739" max="9740" width="7.33203125" style="3" customWidth="1"/>
    <col min="9741" max="9741" width="1.5546875" style="3" customWidth="1"/>
    <col min="9742" max="9742" width="7.88671875" style="3" customWidth="1"/>
    <col min="9743" max="9743" width="8.33203125" style="3" customWidth="1"/>
    <col min="9744" max="9984" width="9.109375" style="3"/>
    <col min="9985" max="9985" width="11.109375" style="3" customWidth="1"/>
    <col min="9986" max="9987" width="0.88671875" style="3" customWidth="1"/>
    <col min="9988" max="9988" width="12.5546875" style="3" customWidth="1"/>
    <col min="9989" max="9989" width="10.109375" style="3" customWidth="1"/>
    <col min="9990" max="9992" width="7.88671875" style="3" customWidth="1"/>
    <col min="9993" max="9993" width="4.44140625" style="3" customWidth="1"/>
    <col min="9994" max="9994" width="4" style="3" customWidth="1"/>
    <col min="9995" max="9996" width="7.33203125" style="3" customWidth="1"/>
    <col min="9997" max="9997" width="1.5546875" style="3" customWidth="1"/>
    <col min="9998" max="9998" width="7.88671875" style="3" customWidth="1"/>
    <col min="9999" max="9999" width="8.33203125" style="3" customWidth="1"/>
    <col min="10000" max="10240" width="9.109375" style="3"/>
    <col min="10241" max="10241" width="11.109375" style="3" customWidth="1"/>
    <col min="10242" max="10243" width="0.88671875" style="3" customWidth="1"/>
    <col min="10244" max="10244" width="12.5546875" style="3" customWidth="1"/>
    <col min="10245" max="10245" width="10.109375" style="3" customWidth="1"/>
    <col min="10246" max="10248" width="7.88671875" style="3" customWidth="1"/>
    <col min="10249" max="10249" width="4.44140625" style="3" customWidth="1"/>
    <col min="10250" max="10250" width="4" style="3" customWidth="1"/>
    <col min="10251" max="10252" width="7.33203125" style="3" customWidth="1"/>
    <col min="10253" max="10253" width="1.5546875" style="3" customWidth="1"/>
    <col min="10254" max="10254" width="7.88671875" style="3" customWidth="1"/>
    <col min="10255" max="10255" width="8.33203125" style="3" customWidth="1"/>
    <col min="10256" max="10496" width="9.109375" style="3"/>
    <col min="10497" max="10497" width="11.109375" style="3" customWidth="1"/>
    <col min="10498" max="10499" width="0.88671875" style="3" customWidth="1"/>
    <col min="10500" max="10500" width="12.5546875" style="3" customWidth="1"/>
    <col min="10501" max="10501" width="10.109375" style="3" customWidth="1"/>
    <col min="10502" max="10504" width="7.88671875" style="3" customWidth="1"/>
    <col min="10505" max="10505" width="4.44140625" style="3" customWidth="1"/>
    <col min="10506" max="10506" width="4" style="3" customWidth="1"/>
    <col min="10507" max="10508" width="7.33203125" style="3" customWidth="1"/>
    <col min="10509" max="10509" width="1.5546875" style="3" customWidth="1"/>
    <col min="10510" max="10510" width="7.88671875" style="3" customWidth="1"/>
    <col min="10511" max="10511" width="8.33203125" style="3" customWidth="1"/>
    <col min="10512" max="10752" width="9.109375" style="3"/>
    <col min="10753" max="10753" width="11.109375" style="3" customWidth="1"/>
    <col min="10754" max="10755" width="0.88671875" style="3" customWidth="1"/>
    <col min="10756" max="10756" width="12.5546875" style="3" customWidth="1"/>
    <col min="10757" max="10757" width="10.109375" style="3" customWidth="1"/>
    <col min="10758" max="10760" width="7.88671875" style="3" customWidth="1"/>
    <col min="10761" max="10761" width="4.44140625" style="3" customWidth="1"/>
    <col min="10762" max="10762" width="4" style="3" customWidth="1"/>
    <col min="10763" max="10764" width="7.33203125" style="3" customWidth="1"/>
    <col min="10765" max="10765" width="1.5546875" style="3" customWidth="1"/>
    <col min="10766" max="10766" width="7.88671875" style="3" customWidth="1"/>
    <col min="10767" max="10767" width="8.33203125" style="3" customWidth="1"/>
    <col min="10768" max="11008" width="9.109375" style="3"/>
    <col min="11009" max="11009" width="11.109375" style="3" customWidth="1"/>
    <col min="11010" max="11011" width="0.88671875" style="3" customWidth="1"/>
    <col min="11012" max="11012" width="12.5546875" style="3" customWidth="1"/>
    <col min="11013" max="11013" width="10.109375" style="3" customWidth="1"/>
    <col min="11014" max="11016" width="7.88671875" style="3" customWidth="1"/>
    <col min="11017" max="11017" width="4.44140625" style="3" customWidth="1"/>
    <col min="11018" max="11018" width="4" style="3" customWidth="1"/>
    <col min="11019" max="11020" width="7.33203125" style="3" customWidth="1"/>
    <col min="11021" max="11021" width="1.5546875" style="3" customWidth="1"/>
    <col min="11022" max="11022" width="7.88671875" style="3" customWidth="1"/>
    <col min="11023" max="11023" width="8.33203125" style="3" customWidth="1"/>
    <col min="11024" max="11264" width="9.109375" style="3"/>
    <col min="11265" max="11265" width="11.109375" style="3" customWidth="1"/>
    <col min="11266" max="11267" width="0.88671875" style="3" customWidth="1"/>
    <col min="11268" max="11268" width="12.5546875" style="3" customWidth="1"/>
    <col min="11269" max="11269" width="10.109375" style="3" customWidth="1"/>
    <col min="11270" max="11272" width="7.88671875" style="3" customWidth="1"/>
    <col min="11273" max="11273" width="4.44140625" style="3" customWidth="1"/>
    <col min="11274" max="11274" width="4" style="3" customWidth="1"/>
    <col min="11275" max="11276" width="7.33203125" style="3" customWidth="1"/>
    <col min="11277" max="11277" width="1.5546875" style="3" customWidth="1"/>
    <col min="11278" max="11278" width="7.88671875" style="3" customWidth="1"/>
    <col min="11279" max="11279" width="8.33203125" style="3" customWidth="1"/>
    <col min="11280" max="11520" width="9.109375" style="3"/>
    <col min="11521" max="11521" width="11.109375" style="3" customWidth="1"/>
    <col min="11522" max="11523" width="0.88671875" style="3" customWidth="1"/>
    <col min="11524" max="11524" width="12.5546875" style="3" customWidth="1"/>
    <col min="11525" max="11525" width="10.109375" style="3" customWidth="1"/>
    <col min="11526" max="11528" width="7.88671875" style="3" customWidth="1"/>
    <col min="11529" max="11529" width="4.44140625" style="3" customWidth="1"/>
    <col min="11530" max="11530" width="4" style="3" customWidth="1"/>
    <col min="11531" max="11532" width="7.33203125" style="3" customWidth="1"/>
    <col min="11533" max="11533" width="1.5546875" style="3" customWidth="1"/>
    <col min="11534" max="11534" width="7.88671875" style="3" customWidth="1"/>
    <col min="11535" max="11535" width="8.33203125" style="3" customWidth="1"/>
    <col min="11536" max="11776" width="9.109375" style="3"/>
    <col min="11777" max="11777" width="11.109375" style="3" customWidth="1"/>
    <col min="11778" max="11779" width="0.88671875" style="3" customWidth="1"/>
    <col min="11780" max="11780" width="12.5546875" style="3" customWidth="1"/>
    <col min="11781" max="11781" width="10.109375" style="3" customWidth="1"/>
    <col min="11782" max="11784" width="7.88671875" style="3" customWidth="1"/>
    <col min="11785" max="11785" width="4.44140625" style="3" customWidth="1"/>
    <col min="11786" max="11786" width="4" style="3" customWidth="1"/>
    <col min="11787" max="11788" width="7.33203125" style="3" customWidth="1"/>
    <col min="11789" max="11789" width="1.5546875" style="3" customWidth="1"/>
    <col min="11790" max="11790" width="7.88671875" style="3" customWidth="1"/>
    <col min="11791" max="11791" width="8.33203125" style="3" customWidth="1"/>
    <col min="11792" max="12032" width="9.109375" style="3"/>
    <col min="12033" max="12033" width="11.109375" style="3" customWidth="1"/>
    <col min="12034" max="12035" width="0.88671875" style="3" customWidth="1"/>
    <col min="12036" max="12036" width="12.5546875" style="3" customWidth="1"/>
    <col min="12037" max="12037" width="10.109375" style="3" customWidth="1"/>
    <col min="12038" max="12040" width="7.88671875" style="3" customWidth="1"/>
    <col min="12041" max="12041" width="4.44140625" style="3" customWidth="1"/>
    <col min="12042" max="12042" width="4" style="3" customWidth="1"/>
    <col min="12043" max="12044" width="7.33203125" style="3" customWidth="1"/>
    <col min="12045" max="12045" width="1.5546875" style="3" customWidth="1"/>
    <col min="12046" max="12046" width="7.88671875" style="3" customWidth="1"/>
    <col min="12047" max="12047" width="8.33203125" style="3" customWidth="1"/>
    <col min="12048" max="12288" width="9.109375" style="3"/>
    <col min="12289" max="12289" width="11.109375" style="3" customWidth="1"/>
    <col min="12290" max="12291" width="0.88671875" style="3" customWidth="1"/>
    <col min="12292" max="12292" width="12.5546875" style="3" customWidth="1"/>
    <col min="12293" max="12293" width="10.109375" style="3" customWidth="1"/>
    <col min="12294" max="12296" width="7.88671875" style="3" customWidth="1"/>
    <col min="12297" max="12297" width="4.44140625" style="3" customWidth="1"/>
    <col min="12298" max="12298" width="4" style="3" customWidth="1"/>
    <col min="12299" max="12300" width="7.33203125" style="3" customWidth="1"/>
    <col min="12301" max="12301" width="1.5546875" style="3" customWidth="1"/>
    <col min="12302" max="12302" width="7.88671875" style="3" customWidth="1"/>
    <col min="12303" max="12303" width="8.33203125" style="3" customWidth="1"/>
    <col min="12304" max="12544" width="9.109375" style="3"/>
    <col min="12545" max="12545" width="11.109375" style="3" customWidth="1"/>
    <col min="12546" max="12547" width="0.88671875" style="3" customWidth="1"/>
    <col min="12548" max="12548" width="12.5546875" style="3" customWidth="1"/>
    <col min="12549" max="12549" width="10.109375" style="3" customWidth="1"/>
    <col min="12550" max="12552" width="7.88671875" style="3" customWidth="1"/>
    <col min="12553" max="12553" width="4.44140625" style="3" customWidth="1"/>
    <col min="12554" max="12554" width="4" style="3" customWidth="1"/>
    <col min="12555" max="12556" width="7.33203125" style="3" customWidth="1"/>
    <col min="12557" max="12557" width="1.5546875" style="3" customWidth="1"/>
    <col min="12558" max="12558" width="7.88671875" style="3" customWidth="1"/>
    <col min="12559" max="12559" width="8.33203125" style="3" customWidth="1"/>
    <col min="12560" max="12800" width="9.109375" style="3"/>
    <col min="12801" max="12801" width="11.109375" style="3" customWidth="1"/>
    <col min="12802" max="12803" width="0.88671875" style="3" customWidth="1"/>
    <col min="12804" max="12804" width="12.5546875" style="3" customWidth="1"/>
    <col min="12805" max="12805" width="10.109375" style="3" customWidth="1"/>
    <col min="12806" max="12808" width="7.88671875" style="3" customWidth="1"/>
    <col min="12809" max="12809" width="4.44140625" style="3" customWidth="1"/>
    <col min="12810" max="12810" width="4" style="3" customWidth="1"/>
    <col min="12811" max="12812" width="7.33203125" style="3" customWidth="1"/>
    <col min="12813" max="12813" width="1.5546875" style="3" customWidth="1"/>
    <col min="12814" max="12814" width="7.88671875" style="3" customWidth="1"/>
    <col min="12815" max="12815" width="8.33203125" style="3" customWidth="1"/>
    <col min="12816" max="13056" width="9.109375" style="3"/>
    <col min="13057" max="13057" width="11.109375" style="3" customWidth="1"/>
    <col min="13058" max="13059" width="0.88671875" style="3" customWidth="1"/>
    <col min="13060" max="13060" width="12.5546875" style="3" customWidth="1"/>
    <col min="13061" max="13061" width="10.109375" style="3" customWidth="1"/>
    <col min="13062" max="13064" width="7.88671875" style="3" customWidth="1"/>
    <col min="13065" max="13065" width="4.44140625" style="3" customWidth="1"/>
    <col min="13066" max="13066" width="4" style="3" customWidth="1"/>
    <col min="13067" max="13068" width="7.33203125" style="3" customWidth="1"/>
    <col min="13069" max="13069" width="1.5546875" style="3" customWidth="1"/>
    <col min="13070" max="13070" width="7.88671875" style="3" customWidth="1"/>
    <col min="13071" max="13071" width="8.33203125" style="3" customWidth="1"/>
    <col min="13072" max="13312" width="9.109375" style="3"/>
    <col min="13313" max="13313" width="11.109375" style="3" customWidth="1"/>
    <col min="13314" max="13315" width="0.88671875" style="3" customWidth="1"/>
    <col min="13316" max="13316" width="12.5546875" style="3" customWidth="1"/>
    <col min="13317" max="13317" width="10.109375" style="3" customWidth="1"/>
    <col min="13318" max="13320" width="7.88671875" style="3" customWidth="1"/>
    <col min="13321" max="13321" width="4.44140625" style="3" customWidth="1"/>
    <col min="13322" max="13322" width="4" style="3" customWidth="1"/>
    <col min="13323" max="13324" width="7.33203125" style="3" customWidth="1"/>
    <col min="13325" max="13325" width="1.5546875" style="3" customWidth="1"/>
    <col min="13326" max="13326" width="7.88671875" style="3" customWidth="1"/>
    <col min="13327" max="13327" width="8.33203125" style="3" customWidth="1"/>
    <col min="13328" max="13568" width="9.109375" style="3"/>
    <col min="13569" max="13569" width="11.109375" style="3" customWidth="1"/>
    <col min="13570" max="13571" width="0.88671875" style="3" customWidth="1"/>
    <col min="13572" max="13572" width="12.5546875" style="3" customWidth="1"/>
    <col min="13573" max="13573" width="10.109375" style="3" customWidth="1"/>
    <col min="13574" max="13576" width="7.88671875" style="3" customWidth="1"/>
    <col min="13577" max="13577" width="4.44140625" style="3" customWidth="1"/>
    <col min="13578" max="13578" width="4" style="3" customWidth="1"/>
    <col min="13579" max="13580" width="7.33203125" style="3" customWidth="1"/>
    <col min="13581" max="13581" width="1.5546875" style="3" customWidth="1"/>
    <col min="13582" max="13582" width="7.88671875" style="3" customWidth="1"/>
    <col min="13583" max="13583" width="8.33203125" style="3" customWidth="1"/>
    <col min="13584" max="13824" width="9.109375" style="3"/>
    <col min="13825" max="13825" width="11.109375" style="3" customWidth="1"/>
    <col min="13826" max="13827" width="0.88671875" style="3" customWidth="1"/>
    <col min="13828" max="13828" width="12.5546875" style="3" customWidth="1"/>
    <col min="13829" max="13829" width="10.109375" style="3" customWidth="1"/>
    <col min="13830" max="13832" width="7.88671875" style="3" customWidth="1"/>
    <col min="13833" max="13833" width="4.44140625" style="3" customWidth="1"/>
    <col min="13834" max="13834" width="4" style="3" customWidth="1"/>
    <col min="13835" max="13836" width="7.33203125" style="3" customWidth="1"/>
    <col min="13837" max="13837" width="1.5546875" style="3" customWidth="1"/>
    <col min="13838" max="13838" width="7.88671875" style="3" customWidth="1"/>
    <col min="13839" max="13839" width="8.33203125" style="3" customWidth="1"/>
    <col min="13840" max="14080" width="9.109375" style="3"/>
    <col min="14081" max="14081" width="11.109375" style="3" customWidth="1"/>
    <col min="14082" max="14083" width="0.88671875" style="3" customWidth="1"/>
    <col min="14084" max="14084" width="12.5546875" style="3" customWidth="1"/>
    <col min="14085" max="14085" width="10.109375" style="3" customWidth="1"/>
    <col min="14086" max="14088" width="7.88671875" style="3" customWidth="1"/>
    <col min="14089" max="14089" width="4.44140625" style="3" customWidth="1"/>
    <col min="14090" max="14090" width="4" style="3" customWidth="1"/>
    <col min="14091" max="14092" width="7.33203125" style="3" customWidth="1"/>
    <col min="14093" max="14093" width="1.5546875" style="3" customWidth="1"/>
    <col min="14094" max="14094" width="7.88671875" style="3" customWidth="1"/>
    <col min="14095" max="14095" width="8.33203125" style="3" customWidth="1"/>
    <col min="14096" max="14336" width="9.109375" style="3"/>
    <col min="14337" max="14337" width="11.109375" style="3" customWidth="1"/>
    <col min="14338" max="14339" width="0.88671875" style="3" customWidth="1"/>
    <col min="14340" max="14340" width="12.5546875" style="3" customWidth="1"/>
    <col min="14341" max="14341" width="10.109375" style="3" customWidth="1"/>
    <col min="14342" max="14344" width="7.88671875" style="3" customWidth="1"/>
    <col min="14345" max="14345" width="4.44140625" style="3" customWidth="1"/>
    <col min="14346" max="14346" width="4" style="3" customWidth="1"/>
    <col min="14347" max="14348" width="7.33203125" style="3" customWidth="1"/>
    <col min="14349" max="14349" width="1.5546875" style="3" customWidth="1"/>
    <col min="14350" max="14350" width="7.88671875" style="3" customWidth="1"/>
    <col min="14351" max="14351" width="8.33203125" style="3" customWidth="1"/>
    <col min="14352" max="14592" width="9.109375" style="3"/>
    <col min="14593" max="14593" width="11.109375" style="3" customWidth="1"/>
    <col min="14594" max="14595" width="0.88671875" style="3" customWidth="1"/>
    <col min="14596" max="14596" width="12.5546875" style="3" customWidth="1"/>
    <col min="14597" max="14597" width="10.109375" style="3" customWidth="1"/>
    <col min="14598" max="14600" width="7.88671875" style="3" customWidth="1"/>
    <col min="14601" max="14601" width="4.44140625" style="3" customWidth="1"/>
    <col min="14602" max="14602" width="4" style="3" customWidth="1"/>
    <col min="14603" max="14604" width="7.33203125" style="3" customWidth="1"/>
    <col min="14605" max="14605" width="1.5546875" style="3" customWidth="1"/>
    <col min="14606" max="14606" width="7.88671875" style="3" customWidth="1"/>
    <col min="14607" max="14607" width="8.33203125" style="3" customWidth="1"/>
    <col min="14608" max="14848" width="9.109375" style="3"/>
    <col min="14849" max="14849" width="11.109375" style="3" customWidth="1"/>
    <col min="14850" max="14851" width="0.88671875" style="3" customWidth="1"/>
    <col min="14852" max="14852" width="12.5546875" style="3" customWidth="1"/>
    <col min="14853" max="14853" width="10.109375" style="3" customWidth="1"/>
    <col min="14854" max="14856" width="7.88671875" style="3" customWidth="1"/>
    <col min="14857" max="14857" width="4.44140625" style="3" customWidth="1"/>
    <col min="14858" max="14858" width="4" style="3" customWidth="1"/>
    <col min="14859" max="14860" width="7.33203125" style="3" customWidth="1"/>
    <col min="14861" max="14861" width="1.5546875" style="3" customWidth="1"/>
    <col min="14862" max="14862" width="7.88671875" style="3" customWidth="1"/>
    <col min="14863" max="14863" width="8.33203125" style="3" customWidth="1"/>
    <col min="14864" max="15104" width="9.109375" style="3"/>
    <col min="15105" max="15105" width="11.109375" style="3" customWidth="1"/>
    <col min="15106" max="15107" width="0.88671875" style="3" customWidth="1"/>
    <col min="15108" max="15108" width="12.5546875" style="3" customWidth="1"/>
    <col min="15109" max="15109" width="10.109375" style="3" customWidth="1"/>
    <col min="15110" max="15112" width="7.88671875" style="3" customWidth="1"/>
    <col min="15113" max="15113" width="4.44140625" style="3" customWidth="1"/>
    <col min="15114" max="15114" width="4" style="3" customWidth="1"/>
    <col min="15115" max="15116" width="7.33203125" style="3" customWidth="1"/>
    <col min="15117" max="15117" width="1.5546875" style="3" customWidth="1"/>
    <col min="15118" max="15118" width="7.88671875" style="3" customWidth="1"/>
    <col min="15119" max="15119" width="8.33203125" style="3" customWidth="1"/>
    <col min="15120" max="15360" width="9.109375" style="3"/>
    <col min="15361" max="15361" width="11.109375" style="3" customWidth="1"/>
    <col min="15362" max="15363" width="0.88671875" style="3" customWidth="1"/>
    <col min="15364" max="15364" width="12.5546875" style="3" customWidth="1"/>
    <col min="15365" max="15365" width="10.109375" style="3" customWidth="1"/>
    <col min="15366" max="15368" width="7.88671875" style="3" customWidth="1"/>
    <col min="15369" max="15369" width="4.44140625" style="3" customWidth="1"/>
    <col min="15370" max="15370" width="4" style="3" customWidth="1"/>
    <col min="15371" max="15372" width="7.33203125" style="3" customWidth="1"/>
    <col min="15373" max="15373" width="1.5546875" style="3" customWidth="1"/>
    <col min="15374" max="15374" width="7.88671875" style="3" customWidth="1"/>
    <col min="15375" max="15375" width="8.33203125" style="3" customWidth="1"/>
    <col min="15376" max="15616" width="9.109375" style="3"/>
    <col min="15617" max="15617" width="11.109375" style="3" customWidth="1"/>
    <col min="15618" max="15619" width="0.88671875" style="3" customWidth="1"/>
    <col min="15620" max="15620" width="12.5546875" style="3" customWidth="1"/>
    <col min="15621" max="15621" width="10.109375" style="3" customWidth="1"/>
    <col min="15622" max="15624" width="7.88671875" style="3" customWidth="1"/>
    <col min="15625" max="15625" width="4.44140625" style="3" customWidth="1"/>
    <col min="15626" max="15626" width="4" style="3" customWidth="1"/>
    <col min="15627" max="15628" width="7.33203125" style="3" customWidth="1"/>
    <col min="15629" max="15629" width="1.5546875" style="3" customWidth="1"/>
    <col min="15630" max="15630" width="7.88671875" style="3" customWidth="1"/>
    <col min="15631" max="15631" width="8.33203125" style="3" customWidth="1"/>
    <col min="15632" max="15872" width="9.109375" style="3"/>
    <col min="15873" max="15873" width="11.109375" style="3" customWidth="1"/>
    <col min="15874" max="15875" width="0.88671875" style="3" customWidth="1"/>
    <col min="15876" max="15876" width="12.5546875" style="3" customWidth="1"/>
    <col min="15877" max="15877" width="10.109375" style="3" customWidth="1"/>
    <col min="15878" max="15880" width="7.88671875" style="3" customWidth="1"/>
    <col min="15881" max="15881" width="4.44140625" style="3" customWidth="1"/>
    <col min="15882" max="15882" width="4" style="3" customWidth="1"/>
    <col min="15883" max="15884" width="7.33203125" style="3" customWidth="1"/>
    <col min="15885" max="15885" width="1.5546875" style="3" customWidth="1"/>
    <col min="15886" max="15886" width="7.88671875" style="3" customWidth="1"/>
    <col min="15887" max="15887" width="8.33203125" style="3" customWidth="1"/>
    <col min="15888" max="16128" width="9.109375" style="3"/>
    <col min="16129" max="16129" width="11.109375" style="3" customWidth="1"/>
    <col min="16130" max="16131" width="0.88671875" style="3" customWidth="1"/>
    <col min="16132" max="16132" width="12.5546875" style="3" customWidth="1"/>
    <col min="16133" max="16133" width="10.109375" style="3" customWidth="1"/>
    <col min="16134" max="16136" width="7.88671875" style="3" customWidth="1"/>
    <col min="16137" max="16137" width="4.44140625" style="3" customWidth="1"/>
    <col min="16138" max="16138" width="4" style="3" customWidth="1"/>
    <col min="16139" max="16140" width="7.33203125" style="3" customWidth="1"/>
    <col min="16141" max="16141" width="1.5546875" style="3" customWidth="1"/>
    <col min="16142" max="16142" width="7.88671875" style="3" customWidth="1"/>
    <col min="16143" max="16143" width="8.33203125" style="3" customWidth="1"/>
    <col min="16144" max="16384" width="9.109375" style="3"/>
  </cols>
  <sheetData>
    <row r="1" spans="1:15" ht="14.25" customHeight="1" x14ac:dyDescent="0.3">
      <c r="A1" s="80" t="s">
        <v>266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ht="5.85" customHeight="1" x14ac:dyDescent="0.3"/>
    <row r="3" spans="1:15" ht="63.15" customHeight="1" x14ac:dyDescent="0.3">
      <c r="A3" s="4" t="s">
        <v>267</v>
      </c>
      <c r="C3" s="82" t="s">
        <v>955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</row>
    <row r="4" spans="1:15" ht="17.25" customHeight="1" x14ac:dyDescent="0.3"/>
    <row r="5" spans="1:15" ht="11.4" customHeight="1" x14ac:dyDescent="0.3">
      <c r="A5" s="83" t="s">
        <v>269</v>
      </c>
      <c r="B5" s="84"/>
      <c r="C5" s="85"/>
      <c r="D5" s="5" t="s">
        <v>270</v>
      </c>
      <c r="E5" s="6" t="s">
        <v>271</v>
      </c>
      <c r="F5" s="5" t="s">
        <v>272</v>
      </c>
      <c r="G5" s="6" t="s">
        <v>273</v>
      </c>
      <c r="H5" s="5" t="s">
        <v>274</v>
      </c>
      <c r="I5" s="120" t="s">
        <v>275</v>
      </c>
      <c r="J5" s="93"/>
      <c r="K5" s="5" t="s">
        <v>276</v>
      </c>
      <c r="L5" s="6" t="s">
        <v>277</v>
      </c>
      <c r="M5" s="83" t="s">
        <v>278</v>
      </c>
      <c r="N5" s="85"/>
      <c r="O5" s="7" t="s">
        <v>279</v>
      </c>
    </row>
    <row r="6" spans="1:15" ht="11.4" customHeight="1" x14ac:dyDescent="0.3">
      <c r="A6" s="88" t="s">
        <v>956</v>
      </c>
      <c r="B6" s="84"/>
      <c r="C6" s="85"/>
      <c r="D6" s="14" t="s">
        <v>877</v>
      </c>
      <c r="E6" s="9" t="s">
        <v>957</v>
      </c>
      <c r="F6" s="15" t="s">
        <v>958</v>
      </c>
      <c r="G6" s="11" t="s">
        <v>592</v>
      </c>
      <c r="H6" s="15" t="s">
        <v>959</v>
      </c>
      <c r="I6" s="141" t="s">
        <v>7</v>
      </c>
      <c r="J6" s="85"/>
      <c r="K6" s="15" t="s">
        <v>960</v>
      </c>
      <c r="L6" s="9" t="s">
        <v>287</v>
      </c>
      <c r="M6" s="88" t="s">
        <v>288</v>
      </c>
      <c r="N6" s="85"/>
      <c r="O6" s="9" t="s">
        <v>289</v>
      </c>
    </row>
    <row r="7" spans="1:15" ht="11.4" customHeight="1" x14ac:dyDescent="0.3">
      <c r="A7" s="101" t="s">
        <v>956</v>
      </c>
      <c r="B7" s="84"/>
      <c r="C7" s="85"/>
      <c r="D7" s="9" t="s">
        <v>795</v>
      </c>
      <c r="E7" s="14" t="s">
        <v>961</v>
      </c>
      <c r="F7" s="11" t="s">
        <v>962</v>
      </c>
      <c r="G7" s="15" t="s">
        <v>963</v>
      </c>
      <c r="H7" s="11" t="s">
        <v>381</v>
      </c>
      <c r="I7" s="141" t="s">
        <v>7</v>
      </c>
      <c r="J7" s="85"/>
      <c r="K7" s="11" t="s">
        <v>428</v>
      </c>
      <c r="L7" s="14" t="s">
        <v>287</v>
      </c>
      <c r="M7" s="88" t="s">
        <v>288</v>
      </c>
      <c r="N7" s="85"/>
      <c r="O7" s="16" t="s">
        <v>309</v>
      </c>
    </row>
    <row r="8" spans="1:15" ht="11.4" customHeight="1" x14ac:dyDescent="0.3">
      <c r="A8" s="88" t="s">
        <v>956</v>
      </c>
      <c r="B8" s="84"/>
      <c r="C8" s="85"/>
      <c r="D8" s="14" t="s">
        <v>786</v>
      </c>
      <c r="E8" s="9" t="s">
        <v>964</v>
      </c>
      <c r="F8" s="15" t="s">
        <v>758</v>
      </c>
      <c r="G8" s="11" t="s">
        <v>965</v>
      </c>
      <c r="H8" s="15" t="s">
        <v>491</v>
      </c>
      <c r="I8" s="141" t="s">
        <v>7</v>
      </c>
      <c r="J8" s="85"/>
      <c r="K8" s="15" t="s">
        <v>347</v>
      </c>
      <c r="L8" s="9" t="s">
        <v>287</v>
      </c>
      <c r="M8" s="88" t="s">
        <v>288</v>
      </c>
      <c r="N8" s="85"/>
      <c r="O8" s="9" t="s">
        <v>289</v>
      </c>
    </row>
    <row r="9" spans="1:15" ht="11.4" customHeight="1" x14ac:dyDescent="0.3">
      <c r="A9" s="111" t="s">
        <v>956</v>
      </c>
      <c r="B9" s="112"/>
      <c r="C9" s="106"/>
      <c r="D9" s="9" t="s">
        <v>461</v>
      </c>
      <c r="E9" s="8" t="s">
        <v>966</v>
      </c>
      <c r="F9" s="11" t="s">
        <v>967</v>
      </c>
      <c r="G9" s="10" t="s">
        <v>873</v>
      </c>
      <c r="H9" s="11" t="s">
        <v>968</v>
      </c>
      <c r="I9" s="147" t="s">
        <v>7</v>
      </c>
      <c r="J9" s="106"/>
      <c r="K9" s="11" t="s">
        <v>301</v>
      </c>
      <c r="L9" s="8" t="s">
        <v>287</v>
      </c>
      <c r="M9" s="88" t="s">
        <v>288</v>
      </c>
      <c r="N9" s="85"/>
      <c r="O9" s="9" t="s">
        <v>289</v>
      </c>
    </row>
    <row r="10" spans="1:15" ht="2.85" customHeight="1" x14ac:dyDescent="0.3"/>
    <row r="11" spans="1:15" ht="11.4" customHeight="1" x14ac:dyDescent="0.3">
      <c r="A11" s="94" t="s">
        <v>290</v>
      </c>
      <c r="B11" s="81"/>
      <c r="C11" s="81"/>
      <c r="D11" s="81"/>
      <c r="E11" s="81"/>
      <c r="F11" s="81"/>
      <c r="G11" s="81"/>
      <c r="H11" s="12" t="s">
        <v>969</v>
      </c>
      <c r="I11" s="142" t="s">
        <v>9</v>
      </c>
      <c r="J11" s="143"/>
      <c r="K11" s="97" t="s">
        <v>291</v>
      </c>
      <c r="L11" s="81"/>
      <c r="M11" s="81"/>
      <c r="N11" s="97" t="s">
        <v>292</v>
      </c>
      <c r="O11" s="81"/>
    </row>
    <row r="12" spans="1:15" ht="11.4" customHeight="1" x14ac:dyDescent="0.3">
      <c r="F12" s="97" t="s">
        <v>293</v>
      </c>
      <c r="G12" s="81"/>
      <c r="H12" s="13" t="s">
        <v>970</v>
      </c>
      <c r="I12" s="144" t="s">
        <v>9</v>
      </c>
      <c r="J12" s="145"/>
      <c r="K12" s="100" t="s">
        <v>295</v>
      </c>
      <c r="L12" s="81"/>
      <c r="M12" s="81"/>
      <c r="N12" s="100" t="s">
        <v>295</v>
      </c>
      <c r="O12" s="81"/>
    </row>
    <row r="13" spans="1:15" ht="20.100000000000001" customHeight="1" x14ac:dyDescent="0.3"/>
    <row r="14" spans="1:15" ht="11.4" customHeight="1" x14ac:dyDescent="0.3">
      <c r="A14" s="83" t="s">
        <v>269</v>
      </c>
      <c r="B14" s="84"/>
      <c r="C14" s="85"/>
      <c r="D14" s="6" t="s">
        <v>270</v>
      </c>
      <c r="E14" s="5" t="s">
        <v>271</v>
      </c>
      <c r="F14" s="6" t="s">
        <v>272</v>
      </c>
      <c r="G14" s="5" t="s">
        <v>273</v>
      </c>
      <c r="H14" s="6" t="s">
        <v>274</v>
      </c>
      <c r="I14" s="83" t="s">
        <v>275</v>
      </c>
      <c r="J14" s="85"/>
      <c r="K14" s="6" t="s">
        <v>276</v>
      </c>
      <c r="L14" s="5" t="s">
        <v>277</v>
      </c>
      <c r="M14" s="120" t="s">
        <v>278</v>
      </c>
      <c r="N14" s="93"/>
      <c r="O14" s="5" t="s">
        <v>279</v>
      </c>
    </row>
    <row r="15" spans="1:15" ht="11.4" customHeight="1" x14ac:dyDescent="0.3">
      <c r="A15" s="101" t="s">
        <v>956</v>
      </c>
      <c r="B15" s="84"/>
      <c r="C15" s="85"/>
      <c r="D15" s="9" t="s">
        <v>439</v>
      </c>
      <c r="E15" s="14" t="s">
        <v>971</v>
      </c>
      <c r="F15" s="11" t="s">
        <v>403</v>
      </c>
      <c r="G15" s="15" t="s">
        <v>972</v>
      </c>
      <c r="H15" s="11" t="s">
        <v>725</v>
      </c>
      <c r="I15" s="141" t="s">
        <v>7</v>
      </c>
      <c r="J15" s="85"/>
      <c r="K15" s="11" t="s">
        <v>973</v>
      </c>
      <c r="L15" s="14" t="s">
        <v>287</v>
      </c>
      <c r="M15" s="88" t="s">
        <v>302</v>
      </c>
      <c r="N15" s="85"/>
      <c r="O15" s="16" t="s">
        <v>309</v>
      </c>
    </row>
    <row r="16" spans="1:15" ht="11.4" customHeight="1" x14ac:dyDescent="0.3">
      <c r="A16" s="88" t="s">
        <v>956</v>
      </c>
      <c r="B16" s="84"/>
      <c r="C16" s="85"/>
      <c r="D16" s="14" t="s">
        <v>435</v>
      </c>
      <c r="E16" s="9" t="s">
        <v>974</v>
      </c>
      <c r="F16" s="15" t="s">
        <v>975</v>
      </c>
      <c r="G16" s="11" t="s">
        <v>625</v>
      </c>
      <c r="H16" s="15" t="s">
        <v>976</v>
      </c>
      <c r="I16" s="141" t="s">
        <v>7</v>
      </c>
      <c r="J16" s="85"/>
      <c r="K16" s="15" t="s">
        <v>739</v>
      </c>
      <c r="L16" s="9" t="s">
        <v>287</v>
      </c>
      <c r="M16" s="88" t="s">
        <v>302</v>
      </c>
      <c r="N16" s="85"/>
      <c r="O16" s="9" t="s">
        <v>289</v>
      </c>
    </row>
    <row r="17" spans="1:15" ht="11.4" customHeight="1" x14ac:dyDescent="0.3">
      <c r="A17" s="101" t="s">
        <v>956</v>
      </c>
      <c r="B17" s="84"/>
      <c r="C17" s="85"/>
      <c r="D17" s="9" t="s">
        <v>377</v>
      </c>
      <c r="E17" s="14" t="s">
        <v>977</v>
      </c>
      <c r="F17" s="11" t="s">
        <v>978</v>
      </c>
      <c r="G17" s="15" t="s">
        <v>979</v>
      </c>
      <c r="H17" s="11" t="s">
        <v>980</v>
      </c>
      <c r="I17" s="141" t="s">
        <v>7</v>
      </c>
      <c r="J17" s="85"/>
      <c r="K17" s="11" t="s">
        <v>388</v>
      </c>
      <c r="L17" s="14" t="s">
        <v>287</v>
      </c>
      <c r="M17" s="88" t="s">
        <v>302</v>
      </c>
      <c r="N17" s="85"/>
      <c r="O17" s="16" t="s">
        <v>289</v>
      </c>
    </row>
    <row r="18" spans="1:15" ht="11.4" customHeight="1" x14ac:dyDescent="0.3">
      <c r="A18" s="88" t="s">
        <v>956</v>
      </c>
      <c r="B18" s="84"/>
      <c r="C18" s="85"/>
      <c r="D18" s="8" t="s">
        <v>444</v>
      </c>
      <c r="E18" s="9" t="s">
        <v>981</v>
      </c>
      <c r="F18" s="10" t="s">
        <v>329</v>
      </c>
      <c r="G18" s="11" t="s">
        <v>982</v>
      </c>
      <c r="H18" s="10" t="s">
        <v>983</v>
      </c>
      <c r="I18" s="141" t="s">
        <v>7</v>
      </c>
      <c r="J18" s="85"/>
      <c r="K18" s="10" t="s">
        <v>449</v>
      </c>
      <c r="L18" s="9" t="s">
        <v>287</v>
      </c>
      <c r="M18" s="88" t="s">
        <v>302</v>
      </c>
      <c r="N18" s="85"/>
      <c r="O18" s="9" t="s">
        <v>309</v>
      </c>
    </row>
    <row r="19" spans="1:15" ht="2.85" customHeight="1" x14ac:dyDescent="0.3"/>
    <row r="20" spans="1:15" ht="11.4" customHeight="1" x14ac:dyDescent="0.3">
      <c r="A20" s="94" t="s">
        <v>339</v>
      </c>
      <c r="B20" s="81"/>
      <c r="C20" s="81"/>
      <c r="D20" s="81"/>
      <c r="E20" s="81"/>
      <c r="F20" s="81"/>
      <c r="G20" s="81"/>
      <c r="H20" s="12" t="s">
        <v>984</v>
      </c>
      <c r="I20" s="142" t="s">
        <v>9</v>
      </c>
      <c r="J20" s="143"/>
      <c r="K20" s="97" t="s">
        <v>291</v>
      </c>
      <c r="L20" s="81"/>
      <c r="M20" s="81"/>
      <c r="N20" s="97" t="s">
        <v>292</v>
      </c>
      <c r="O20" s="81"/>
    </row>
    <row r="21" spans="1:15" ht="11.4" customHeight="1" x14ac:dyDescent="0.3">
      <c r="F21" s="97" t="s">
        <v>293</v>
      </c>
      <c r="G21" s="81"/>
      <c r="H21" s="13" t="s">
        <v>985</v>
      </c>
      <c r="I21" s="144" t="s">
        <v>9</v>
      </c>
      <c r="J21" s="145"/>
      <c r="K21" s="100" t="s">
        <v>295</v>
      </c>
      <c r="L21" s="81"/>
      <c r="M21" s="81"/>
      <c r="N21" s="100" t="s">
        <v>295</v>
      </c>
      <c r="O21" s="81"/>
    </row>
    <row r="22" spans="1:15" ht="20.100000000000001" customHeight="1" x14ac:dyDescent="0.3"/>
    <row r="23" spans="1:15" ht="11.4" customHeight="1" x14ac:dyDescent="0.3">
      <c r="A23" s="91" t="s">
        <v>269</v>
      </c>
      <c r="B23" s="92"/>
      <c r="C23" s="93"/>
      <c r="D23" s="5" t="s">
        <v>270</v>
      </c>
      <c r="E23" s="6" t="s">
        <v>271</v>
      </c>
      <c r="F23" s="5" t="s">
        <v>272</v>
      </c>
      <c r="G23" s="6" t="s">
        <v>273</v>
      </c>
      <c r="H23" s="5" t="s">
        <v>274</v>
      </c>
      <c r="I23" s="120" t="s">
        <v>275</v>
      </c>
      <c r="J23" s="93"/>
      <c r="K23" s="5" t="s">
        <v>276</v>
      </c>
      <c r="L23" s="6" t="s">
        <v>277</v>
      </c>
      <c r="M23" s="83" t="s">
        <v>278</v>
      </c>
      <c r="N23" s="85"/>
      <c r="O23" s="7" t="s">
        <v>279</v>
      </c>
    </row>
    <row r="24" spans="1:15" ht="11.4" customHeight="1" x14ac:dyDescent="0.3">
      <c r="A24" s="88" t="s">
        <v>956</v>
      </c>
      <c r="B24" s="84"/>
      <c r="C24" s="85"/>
      <c r="D24" s="8" t="s">
        <v>364</v>
      </c>
      <c r="E24" s="9" t="s">
        <v>986</v>
      </c>
      <c r="F24" s="10" t="s">
        <v>987</v>
      </c>
      <c r="G24" s="11" t="s">
        <v>988</v>
      </c>
      <c r="H24" s="10" t="s">
        <v>989</v>
      </c>
      <c r="I24" s="141" t="s">
        <v>7</v>
      </c>
      <c r="J24" s="85"/>
      <c r="K24" s="10" t="s">
        <v>584</v>
      </c>
      <c r="L24" s="9" t="s">
        <v>287</v>
      </c>
      <c r="M24" s="88" t="s">
        <v>348</v>
      </c>
      <c r="N24" s="85"/>
      <c r="O24" s="9" t="s">
        <v>309</v>
      </c>
    </row>
    <row r="25" spans="1:15" ht="2.85" customHeight="1" x14ac:dyDescent="0.3"/>
    <row r="26" spans="1:15" ht="11.4" customHeight="1" x14ac:dyDescent="0.3">
      <c r="A26" s="94" t="s">
        <v>361</v>
      </c>
      <c r="B26" s="81"/>
      <c r="C26" s="81"/>
      <c r="D26" s="81"/>
      <c r="E26" s="81"/>
      <c r="F26" s="81"/>
      <c r="G26" s="81"/>
      <c r="H26" s="12" t="s">
        <v>989</v>
      </c>
      <c r="I26" s="142" t="s">
        <v>9</v>
      </c>
      <c r="J26" s="143"/>
      <c r="K26" s="97" t="s">
        <v>291</v>
      </c>
      <c r="L26" s="81"/>
      <c r="M26" s="81"/>
      <c r="N26" s="97" t="s">
        <v>292</v>
      </c>
      <c r="O26" s="81"/>
    </row>
    <row r="27" spans="1:15" ht="11.4" customHeight="1" x14ac:dyDescent="0.3">
      <c r="F27" s="97" t="s">
        <v>293</v>
      </c>
      <c r="G27" s="81"/>
      <c r="H27" s="13" t="s">
        <v>990</v>
      </c>
      <c r="I27" s="144" t="s">
        <v>9</v>
      </c>
      <c r="J27" s="145"/>
      <c r="K27" s="100" t="s">
        <v>295</v>
      </c>
      <c r="L27" s="81"/>
      <c r="M27" s="81"/>
      <c r="N27" s="100" t="s">
        <v>295</v>
      </c>
      <c r="O27" s="81"/>
    </row>
    <row r="28" spans="1:15" ht="20.100000000000001" customHeight="1" x14ac:dyDescent="0.3"/>
    <row r="29" spans="1:15" ht="11.4" customHeight="1" x14ac:dyDescent="0.3">
      <c r="A29" s="91" t="s">
        <v>269</v>
      </c>
      <c r="B29" s="92"/>
      <c r="C29" s="93"/>
      <c r="D29" s="5" t="s">
        <v>270</v>
      </c>
      <c r="E29" s="6" t="s">
        <v>271</v>
      </c>
      <c r="F29" s="5" t="s">
        <v>272</v>
      </c>
      <c r="G29" s="6" t="s">
        <v>273</v>
      </c>
      <c r="H29" s="5" t="s">
        <v>274</v>
      </c>
      <c r="I29" s="120" t="s">
        <v>275</v>
      </c>
      <c r="J29" s="93"/>
      <c r="K29" s="5" t="s">
        <v>276</v>
      </c>
      <c r="L29" s="6" t="s">
        <v>277</v>
      </c>
      <c r="M29" s="83" t="s">
        <v>278</v>
      </c>
      <c r="N29" s="85"/>
      <c r="O29" s="7" t="s">
        <v>279</v>
      </c>
    </row>
    <row r="30" spans="1:15" ht="11.4" customHeight="1" x14ac:dyDescent="0.3">
      <c r="A30" s="88" t="s">
        <v>956</v>
      </c>
      <c r="B30" s="84"/>
      <c r="C30" s="85"/>
      <c r="D30" s="8" t="s">
        <v>383</v>
      </c>
      <c r="E30" s="9" t="s">
        <v>991</v>
      </c>
      <c r="F30" s="10" t="s">
        <v>992</v>
      </c>
      <c r="G30" s="11" t="s">
        <v>993</v>
      </c>
      <c r="H30" s="10" t="s">
        <v>994</v>
      </c>
      <c r="I30" s="141" t="s">
        <v>7</v>
      </c>
      <c r="J30" s="85"/>
      <c r="K30" s="10" t="s">
        <v>995</v>
      </c>
      <c r="L30" s="9" t="s">
        <v>370</v>
      </c>
      <c r="M30" s="105" t="s">
        <v>371</v>
      </c>
      <c r="N30" s="106"/>
      <c r="O30" s="9" t="s">
        <v>289</v>
      </c>
    </row>
    <row r="31" spans="1:15" ht="11.4" customHeight="1" x14ac:dyDescent="0.3">
      <c r="A31" s="111" t="s">
        <v>956</v>
      </c>
      <c r="B31" s="112"/>
      <c r="C31" s="106"/>
      <c r="D31" s="19" t="s">
        <v>821</v>
      </c>
      <c r="E31" s="8" t="s">
        <v>996</v>
      </c>
      <c r="F31" s="20" t="s">
        <v>997</v>
      </c>
      <c r="G31" s="10" t="s">
        <v>998</v>
      </c>
      <c r="H31" s="20" t="s">
        <v>405</v>
      </c>
      <c r="I31" s="147" t="s">
        <v>7</v>
      </c>
      <c r="J31" s="106"/>
      <c r="K31" s="20" t="s">
        <v>999</v>
      </c>
      <c r="L31" s="8" t="s">
        <v>370</v>
      </c>
      <c r="M31" s="110" t="s">
        <v>371</v>
      </c>
      <c r="N31" s="109"/>
      <c r="O31" s="45" t="s">
        <v>289</v>
      </c>
    </row>
    <row r="32" spans="1:15" ht="11.4" customHeight="1" x14ac:dyDescent="0.3">
      <c r="A32" s="110" t="s">
        <v>956</v>
      </c>
      <c r="B32" s="108"/>
      <c r="C32" s="109"/>
      <c r="D32" s="21" t="s">
        <v>467</v>
      </c>
      <c r="E32" s="19" t="s">
        <v>1000</v>
      </c>
      <c r="F32" s="22" t="s">
        <v>469</v>
      </c>
      <c r="G32" s="20" t="s">
        <v>525</v>
      </c>
      <c r="H32" s="22" t="s">
        <v>583</v>
      </c>
      <c r="I32" s="148" t="s">
        <v>7</v>
      </c>
      <c r="J32" s="109"/>
      <c r="K32" s="22" t="s">
        <v>455</v>
      </c>
      <c r="L32" s="19" t="s">
        <v>287</v>
      </c>
      <c r="M32" s="110" t="s">
        <v>371</v>
      </c>
      <c r="N32" s="109"/>
      <c r="O32" s="19" t="s">
        <v>309</v>
      </c>
    </row>
    <row r="33" spans="1:15" ht="11.4" customHeight="1" x14ac:dyDescent="0.3">
      <c r="A33" s="107" t="s">
        <v>956</v>
      </c>
      <c r="B33" s="108"/>
      <c r="C33" s="109"/>
      <c r="D33" s="19" t="s">
        <v>372</v>
      </c>
      <c r="E33" s="21" t="s">
        <v>1001</v>
      </c>
      <c r="F33" s="20" t="s">
        <v>452</v>
      </c>
      <c r="G33" s="22" t="s">
        <v>673</v>
      </c>
      <c r="H33" s="20" t="s">
        <v>393</v>
      </c>
      <c r="I33" s="148" t="s">
        <v>7</v>
      </c>
      <c r="J33" s="109"/>
      <c r="K33" s="20" t="s">
        <v>782</v>
      </c>
      <c r="L33" s="21" t="s">
        <v>370</v>
      </c>
      <c r="M33" s="110" t="s">
        <v>371</v>
      </c>
      <c r="N33" s="109"/>
      <c r="O33" s="23" t="s">
        <v>289</v>
      </c>
    </row>
    <row r="34" spans="1:15" ht="11.4" customHeight="1" x14ac:dyDescent="0.3">
      <c r="A34" s="110" t="s">
        <v>956</v>
      </c>
      <c r="B34" s="108"/>
      <c r="C34" s="109"/>
      <c r="D34" s="21" t="s">
        <v>654</v>
      </c>
      <c r="E34" s="19" t="s">
        <v>1002</v>
      </c>
      <c r="F34" s="22" t="s">
        <v>1003</v>
      </c>
      <c r="G34" s="20" t="s">
        <v>1004</v>
      </c>
      <c r="H34" s="22" t="s">
        <v>929</v>
      </c>
      <c r="I34" s="148" t="s">
        <v>7</v>
      </c>
      <c r="J34" s="109"/>
      <c r="K34" s="22" t="s">
        <v>1005</v>
      </c>
      <c r="L34" s="19" t="s">
        <v>370</v>
      </c>
      <c r="M34" s="110" t="s">
        <v>371</v>
      </c>
      <c r="N34" s="109"/>
      <c r="O34" s="19" t="s">
        <v>309</v>
      </c>
    </row>
    <row r="35" spans="1:15" ht="11.4" customHeight="1" x14ac:dyDescent="0.3">
      <c r="A35" s="107" t="s">
        <v>956</v>
      </c>
      <c r="B35" s="108"/>
      <c r="C35" s="109"/>
      <c r="D35" s="19" t="s">
        <v>815</v>
      </c>
      <c r="E35" s="21" t="s">
        <v>1006</v>
      </c>
      <c r="F35" s="20" t="s">
        <v>1007</v>
      </c>
      <c r="G35" s="22" t="s">
        <v>963</v>
      </c>
      <c r="H35" s="20" t="s">
        <v>976</v>
      </c>
      <c r="I35" s="148" t="s">
        <v>7</v>
      </c>
      <c r="J35" s="109"/>
      <c r="K35" s="20" t="s">
        <v>354</v>
      </c>
      <c r="L35" s="21" t="s">
        <v>287</v>
      </c>
      <c r="M35" s="110" t="s">
        <v>371</v>
      </c>
      <c r="N35" s="109"/>
      <c r="O35" s="23" t="s">
        <v>309</v>
      </c>
    </row>
    <row r="36" spans="1:15" ht="11.4" customHeight="1" x14ac:dyDescent="0.3">
      <c r="A36" s="110" t="s">
        <v>956</v>
      </c>
      <c r="B36" s="108"/>
      <c r="C36" s="109"/>
      <c r="D36" s="21" t="s">
        <v>389</v>
      </c>
      <c r="E36" s="19" t="s">
        <v>1008</v>
      </c>
      <c r="F36" s="22" t="s">
        <v>726</v>
      </c>
      <c r="G36" s="20" t="s">
        <v>605</v>
      </c>
      <c r="H36" s="22" t="s">
        <v>1009</v>
      </c>
      <c r="I36" s="148" t="s">
        <v>7</v>
      </c>
      <c r="J36" s="109"/>
      <c r="K36" s="22" t="s">
        <v>1010</v>
      </c>
      <c r="L36" s="19" t="s">
        <v>370</v>
      </c>
      <c r="M36" s="110" t="s">
        <v>371</v>
      </c>
      <c r="N36" s="109"/>
      <c r="O36" s="19" t="s">
        <v>309</v>
      </c>
    </row>
    <row r="37" spans="1:15" ht="11.4" customHeight="1" x14ac:dyDescent="0.3">
      <c r="A37" s="107" t="s">
        <v>956</v>
      </c>
      <c r="B37" s="108"/>
      <c r="C37" s="109"/>
      <c r="D37" s="19" t="s">
        <v>1011</v>
      </c>
      <c r="E37" s="21" t="s">
        <v>1012</v>
      </c>
      <c r="F37" s="20" t="s">
        <v>758</v>
      </c>
      <c r="G37" s="22" t="s">
        <v>1013</v>
      </c>
      <c r="H37" s="20" t="s">
        <v>1014</v>
      </c>
      <c r="I37" s="148" t="s">
        <v>7</v>
      </c>
      <c r="J37" s="109"/>
      <c r="K37" s="20" t="s">
        <v>471</v>
      </c>
      <c r="L37" s="21" t="s">
        <v>287</v>
      </c>
      <c r="M37" s="110" t="s">
        <v>371</v>
      </c>
      <c r="N37" s="109"/>
      <c r="O37" s="23" t="s">
        <v>309</v>
      </c>
    </row>
    <row r="38" spans="1:15" ht="11.4" customHeight="1" x14ac:dyDescent="0.3">
      <c r="A38" s="110" t="s">
        <v>956</v>
      </c>
      <c r="B38" s="108"/>
      <c r="C38" s="109"/>
      <c r="D38" s="21" t="s">
        <v>504</v>
      </c>
      <c r="E38" s="19" t="s">
        <v>1015</v>
      </c>
      <c r="F38" s="22" t="s">
        <v>1016</v>
      </c>
      <c r="G38" s="20" t="s">
        <v>934</v>
      </c>
      <c r="H38" s="22" t="s">
        <v>7</v>
      </c>
      <c r="I38" s="148" t="s">
        <v>1017</v>
      </c>
      <c r="J38" s="109"/>
      <c r="K38" s="22" t="s">
        <v>1018</v>
      </c>
      <c r="L38" s="19" t="s">
        <v>4</v>
      </c>
      <c r="M38" s="110" t="s">
        <v>371</v>
      </c>
      <c r="N38" s="109"/>
      <c r="O38" s="19" t="s">
        <v>309</v>
      </c>
    </row>
    <row r="39" spans="1:15" ht="11.4" customHeight="1" x14ac:dyDescent="0.3">
      <c r="A39" s="107" t="s">
        <v>956</v>
      </c>
      <c r="B39" s="108"/>
      <c r="C39" s="109"/>
      <c r="D39" s="19" t="s">
        <v>423</v>
      </c>
      <c r="E39" s="25" t="s">
        <v>1019</v>
      </c>
      <c r="F39" s="20" t="s">
        <v>1020</v>
      </c>
      <c r="G39" s="24" t="s">
        <v>1021</v>
      </c>
      <c r="H39" s="20" t="s">
        <v>909</v>
      </c>
      <c r="I39" s="149" t="s">
        <v>7</v>
      </c>
      <c r="J39" s="93"/>
      <c r="K39" s="20" t="s">
        <v>773</v>
      </c>
      <c r="L39" s="25" t="s">
        <v>287</v>
      </c>
      <c r="M39" s="110" t="s">
        <v>371</v>
      </c>
      <c r="N39" s="109"/>
      <c r="O39" s="26" t="s">
        <v>289</v>
      </c>
    </row>
    <row r="40" spans="1:15" ht="11.4" customHeight="1" x14ac:dyDescent="0.3">
      <c r="A40" s="110" t="s">
        <v>956</v>
      </c>
      <c r="B40" s="108"/>
      <c r="C40" s="109"/>
      <c r="D40" s="25" t="s">
        <v>1022</v>
      </c>
      <c r="E40" s="9" t="s">
        <v>1023</v>
      </c>
      <c r="F40" s="24" t="s">
        <v>797</v>
      </c>
      <c r="G40" s="11" t="s">
        <v>818</v>
      </c>
      <c r="H40" s="24" t="s">
        <v>337</v>
      </c>
      <c r="I40" s="141" t="s">
        <v>7</v>
      </c>
      <c r="J40" s="85"/>
      <c r="K40" s="24" t="s">
        <v>782</v>
      </c>
      <c r="L40" s="9" t="s">
        <v>370</v>
      </c>
      <c r="M40" s="116" t="s">
        <v>371</v>
      </c>
      <c r="N40" s="93"/>
      <c r="O40" s="9" t="s">
        <v>309</v>
      </c>
    </row>
    <row r="41" spans="1:15" ht="11.4" customHeight="1" x14ac:dyDescent="0.3">
      <c r="A41" s="107" t="s">
        <v>956</v>
      </c>
      <c r="B41" s="108"/>
      <c r="C41" s="109"/>
      <c r="D41" s="9" t="s">
        <v>412</v>
      </c>
      <c r="E41" s="8" t="s">
        <v>1024</v>
      </c>
      <c r="F41" s="11" t="s">
        <v>1025</v>
      </c>
      <c r="G41" s="10" t="s">
        <v>695</v>
      </c>
      <c r="H41" s="11" t="s">
        <v>1026</v>
      </c>
      <c r="I41" s="147" t="s">
        <v>7</v>
      </c>
      <c r="J41" s="106"/>
      <c r="K41" s="11" t="s">
        <v>509</v>
      </c>
      <c r="L41" s="8" t="s">
        <v>370</v>
      </c>
      <c r="M41" s="88" t="s">
        <v>371</v>
      </c>
      <c r="N41" s="85"/>
      <c r="O41" s="9" t="s">
        <v>309</v>
      </c>
    </row>
    <row r="42" spans="1:15" ht="2.85" customHeight="1" x14ac:dyDescent="0.3"/>
    <row r="43" spans="1:15" ht="11.4" customHeight="1" x14ac:dyDescent="0.3">
      <c r="A43" s="94" t="s">
        <v>478</v>
      </c>
      <c r="B43" s="81"/>
      <c r="C43" s="81"/>
      <c r="D43" s="81"/>
      <c r="E43" s="81"/>
      <c r="F43" s="81"/>
      <c r="G43" s="81"/>
      <c r="H43" s="12" t="s">
        <v>1027</v>
      </c>
      <c r="I43" s="142" t="s">
        <v>1017</v>
      </c>
      <c r="J43" s="143"/>
      <c r="K43" s="97" t="s">
        <v>291</v>
      </c>
      <c r="L43" s="81"/>
      <c r="M43" s="81"/>
      <c r="N43" s="97" t="s">
        <v>292</v>
      </c>
      <c r="O43" s="81"/>
    </row>
    <row r="44" spans="1:15" ht="11.4" customHeight="1" x14ac:dyDescent="0.3">
      <c r="F44" s="97" t="s">
        <v>293</v>
      </c>
      <c r="G44" s="81"/>
      <c r="H44" s="13" t="s">
        <v>1028</v>
      </c>
      <c r="I44" s="144" t="s">
        <v>1029</v>
      </c>
      <c r="J44" s="145"/>
      <c r="K44" s="100" t="s">
        <v>295</v>
      </c>
      <c r="L44" s="81"/>
      <c r="M44" s="81"/>
      <c r="N44" s="100" t="s">
        <v>295</v>
      </c>
      <c r="O44" s="81"/>
    </row>
    <row r="45" spans="1:15" ht="20.100000000000001" customHeight="1" x14ac:dyDescent="0.3"/>
    <row r="46" spans="1:15" ht="11.4" customHeight="1" x14ac:dyDescent="0.3">
      <c r="A46" s="83" t="s">
        <v>269</v>
      </c>
      <c r="B46" s="84"/>
      <c r="C46" s="85"/>
      <c r="D46" s="6" t="s">
        <v>270</v>
      </c>
      <c r="E46" s="5" t="s">
        <v>271</v>
      </c>
      <c r="F46" s="6" t="s">
        <v>272</v>
      </c>
      <c r="G46" s="5" t="s">
        <v>273</v>
      </c>
      <c r="H46" s="6" t="s">
        <v>274</v>
      </c>
      <c r="I46" s="83" t="s">
        <v>275</v>
      </c>
      <c r="J46" s="85"/>
      <c r="K46" s="6" t="s">
        <v>276</v>
      </c>
      <c r="L46" s="5" t="s">
        <v>277</v>
      </c>
      <c r="M46" s="120" t="s">
        <v>278</v>
      </c>
      <c r="N46" s="93"/>
      <c r="O46" s="5" t="s">
        <v>279</v>
      </c>
    </row>
    <row r="47" spans="1:15" ht="11.4" customHeight="1" x14ac:dyDescent="0.3">
      <c r="A47" s="101" t="s">
        <v>956</v>
      </c>
      <c r="B47" s="84"/>
      <c r="C47" s="85"/>
      <c r="D47" s="9" t="s">
        <v>535</v>
      </c>
      <c r="E47" s="14" t="s">
        <v>1030</v>
      </c>
      <c r="F47" s="11" t="s">
        <v>1031</v>
      </c>
      <c r="G47" s="15" t="s">
        <v>336</v>
      </c>
      <c r="H47" s="11" t="s">
        <v>7</v>
      </c>
      <c r="I47" s="141" t="s">
        <v>1032</v>
      </c>
      <c r="J47" s="85"/>
      <c r="K47" s="11" t="s">
        <v>624</v>
      </c>
      <c r="L47" s="14" t="s">
        <v>4</v>
      </c>
      <c r="M47" s="88" t="s">
        <v>486</v>
      </c>
      <c r="N47" s="85"/>
      <c r="O47" s="16" t="s">
        <v>309</v>
      </c>
    </row>
    <row r="48" spans="1:15" ht="11.4" customHeight="1" x14ac:dyDescent="0.3">
      <c r="A48" s="88" t="s">
        <v>956</v>
      </c>
      <c r="B48" s="84"/>
      <c r="C48" s="85"/>
      <c r="D48" s="14" t="s">
        <v>522</v>
      </c>
      <c r="E48" s="9" t="s">
        <v>1033</v>
      </c>
      <c r="F48" s="15" t="s">
        <v>1034</v>
      </c>
      <c r="G48" s="11" t="s">
        <v>1035</v>
      </c>
      <c r="H48" s="15" t="s">
        <v>7</v>
      </c>
      <c r="I48" s="117" t="s">
        <v>1036</v>
      </c>
      <c r="J48" s="118"/>
      <c r="K48" s="15" t="s">
        <v>1037</v>
      </c>
      <c r="L48" s="9" t="s">
        <v>4</v>
      </c>
      <c r="M48" s="88" t="s">
        <v>486</v>
      </c>
      <c r="N48" s="85"/>
      <c r="O48" s="9" t="s">
        <v>309</v>
      </c>
    </row>
    <row r="49" spans="1:15" ht="11.4" customHeight="1" x14ac:dyDescent="0.3">
      <c r="A49" s="101" t="s">
        <v>956</v>
      </c>
      <c r="B49" s="84"/>
      <c r="C49" s="85"/>
      <c r="D49" s="9" t="s">
        <v>545</v>
      </c>
      <c r="E49" s="14" t="s">
        <v>1038</v>
      </c>
      <c r="F49" s="11" t="s">
        <v>1039</v>
      </c>
      <c r="G49" s="15" t="s">
        <v>783</v>
      </c>
      <c r="H49" s="11" t="s">
        <v>7</v>
      </c>
      <c r="I49" s="117" t="s">
        <v>549</v>
      </c>
      <c r="J49" s="118"/>
      <c r="K49" s="11" t="s">
        <v>1037</v>
      </c>
      <c r="L49" s="14" t="s">
        <v>4</v>
      </c>
      <c r="M49" s="88" t="s">
        <v>486</v>
      </c>
      <c r="N49" s="85"/>
      <c r="O49" s="16" t="s">
        <v>309</v>
      </c>
    </row>
    <row r="50" spans="1:15" ht="11.4" customHeight="1" x14ac:dyDescent="0.3">
      <c r="A50" s="88" t="s">
        <v>956</v>
      </c>
      <c r="B50" s="84"/>
      <c r="C50" s="85"/>
      <c r="D50" s="14" t="s">
        <v>504</v>
      </c>
      <c r="E50" s="9" t="s">
        <v>1040</v>
      </c>
      <c r="F50" s="15" t="s">
        <v>1041</v>
      </c>
      <c r="G50" s="11" t="s">
        <v>934</v>
      </c>
      <c r="H50" s="15" t="s">
        <v>7</v>
      </c>
      <c r="I50" s="117" t="s">
        <v>1042</v>
      </c>
      <c r="J50" s="118"/>
      <c r="K50" s="15" t="s">
        <v>602</v>
      </c>
      <c r="L50" s="9" t="s">
        <v>4</v>
      </c>
      <c r="M50" s="88" t="s">
        <v>486</v>
      </c>
      <c r="N50" s="85"/>
      <c r="O50" s="9" t="s">
        <v>309</v>
      </c>
    </row>
    <row r="51" spans="1:15" ht="11.4" customHeight="1" x14ac:dyDescent="0.3">
      <c r="A51" s="101" t="s">
        <v>956</v>
      </c>
      <c r="B51" s="84"/>
      <c r="C51" s="85"/>
      <c r="D51" s="9" t="s">
        <v>407</v>
      </c>
      <c r="E51" s="14" t="s">
        <v>1043</v>
      </c>
      <c r="F51" s="11" t="s">
        <v>1044</v>
      </c>
      <c r="G51" s="15" t="s">
        <v>324</v>
      </c>
      <c r="H51" s="11" t="s">
        <v>7</v>
      </c>
      <c r="I51" s="117" t="s">
        <v>819</v>
      </c>
      <c r="J51" s="118"/>
      <c r="K51" s="11" t="s">
        <v>416</v>
      </c>
      <c r="L51" s="14" t="s">
        <v>4</v>
      </c>
      <c r="M51" s="88" t="s">
        <v>486</v>
      </c>
      <c r="N51" s="85"/>
      <c r="O51" s="16" t="s">
        <v>309</v>
      </c>
    </row>
    <row r="52" spans="1:15" ht="11.4" customHeight="1" x14ac:dyDescent="0.3">
      <c r="A52" s="88" t="s">
        <v>956</v>
      </c>
      <c r="B52" s="84"/>
      <c r="C52" s="85"/>
      <c r="D52" s="14" t="s">
        <v>498</v>
      </c>
      <c r="E52" s="9" t="s">
        <v>1045</v>
      </c>
      <c r="F52" s="15" t="s">
        <v>1046</v>
      </c>
      <c r="G52" s="11" t="s">
        <v>284</v>
      </c>
      <c r="H52" s="15" t="s">
        <v>7</v>
      </c>
      <c r="I52" s="117" t="s">
        <v>325</v>
      </c>
      <c r="J52" s="118"/>
      <c r="K52" s="15" t="s">
        <v>565</v>
      </c>
      <c r="L52" s="9" t="s">
        <v>4</v>
      </c>
      <c r="M52" s="88" t="s">
        <v>486</v>
      </c>
      <c r="N52" s="85"/>
      <c r="O52" s="9" t="s">
        <v>289</v>
      </c>
    </row>
    <row r="53" spans="1:15" ht="11.4" customHeight="1" x14ac:dyDescent="0.3">
      <c r="A53" s="101" t="s">
        <v>956</v>
      </c>
      <c r="B53" s="84"/>
      <c r="C53" s="85"/>
      <c r="D53" s="9" t="s">
        <v>1047</v>
      </c>
      <c r="E53" s="14" t="s">
        <v>1048</v>
      </c>
      <c r="F53" s="11" t="s">
        <v>1049</v>
      </c>
      <c r="G53" s="15" t="s">
        <v>625</v>
      </c>
      <c r="H53" s="11" t="s">
        <v>7</v>
      </c>
      <c r="I53" s="117" t="s">
        <v>1050</v>
      </c>
      <c r="J53" s="118"/>
      <c r="K53" s="11" t="s">
        <v>602</v>
      </c>
      <c r="L53" s="14" t="s">
        <v>4</v>
      </c>
      <c r="M53" s="88" t="s">
        <v>486</v>
      </c>
      <c r="N53" s="85"/>
      <c r="O53" s="16" t="s">
        <v>289</v>
      </c>
    </row>
    <row r="54" spans="1:15" ht="11.4" customHeight="1" x14ac:dyDescent="0.3">
      <c r="A54" s="88" t="s">
        <v>956</v>
      </c>
      <c r="B54" s="84"/>
      <c r="C54" s="85"/>
      <c r="D54" s="14" t="s">
        <v>948</v>
      </c>
      <c r="E54" s="9" t="s">
        <v>1051</v>
      </c>
      <c r="F54" s="15" t="s">
        <v>1052</v>
      </c>
      <c r="G54" s="11" t="s">
        <v>299</v>
      </c>
      <c r="H54" s="15" t="s">
        <v>7</v>
      </c>
      <c r="I54" s="117" t="s">
        <v>945</v>
      </c>
      <c r="J54" s="118"/>
      <c r="K54" s="15" t="s">
        <v>422</v>
      </c>
      <c r="L54" s="9" t="s">
        <v>4</v>
      </c>
      <c r="M54" s="88" t="s">
        <v>486</v>
      </c>
      <c r="N54" s="85"/>
      <c r="O54" s="9" t="s">
        <v>289</v>
      </c>
    </row>
    <row r="55" spans="1:15" ht="11.4" customHeight="1" x14ac:dyDescent="0.3">
      <c r="A55" s="101" t="s">
        <v>956</v>
      </c>
      <c r="B55" s="84"/>
      <c r="C55" s="85"/>
      <c r="D55" s="9" t="s">
        <v>377</v>
      </c>
      <c r="E55" s="14" t="s">
        <v>1053</v>
      </c>
      <c r="F55" s="11" t="s">
        <v>1054</v>
      </c>
      <c r="G55" s="15" t="s">
        <v>979</v>
      </c>
      <c r="H55" s="11" t="s">
        <v>7</v>
      </c>
      <c r="I55" s="117" t="s">
        <v>1055</v>
      </c>
      <c r="J55" s="118"/>
      <c r="K55" s="11" t="s">
        <v>509</v>
      </c>
      <c r="L55" s="14" t="s">
        <v>4</v>
      </c>
      <c r="M55" s="88" t="s">
        <v>486</v>
      </c>
      <c r="N55" s="85"/>
      <c r="O55" s="16" t="s">
        <v>289</v>
      </c>
    </row>
    <row r="56" spans="1:15" ht="11.4" customHeight="1" x14ac:dyDescent="0.3">
      <c r="A56" s="88" t="s">
        <v>956</v>
      </c>
      <c r="B56" s="84"/>
      <c r="C56" s="85"/>
      <c r="D56" s="14" t="s">
        <v>654</v>
      </c>
      <c r="E56" s="9" t="s">
        <v>1056</v>
      </c>
      <c r="F56" s="15" t="s">
        <v>1057</v>
      </c>
      <c r="G56" s="11" t="s">
        <v>1004</v>
      </c>
      <c r="H56" s="15" t="s">
        <v>7</v>
      </c>
      <c r="I56" s="117" t="s">
        <v>645</v>
      </c>
      <c r="J56" s="118"/>
      <c r="K56" s="15" t="s">
        <v>1058</v>
      </c>
      <c r="L56" s="9" t="s">
        <v>4</v>
      </c>
      <c r="M56" s="88" t="s">
        <v>486</v>
      </c>
      <c r="N56" s="85"/>
      <c r="O56" s="9" t="s">
        <v>309</v>
      </c>
    </row>
    <row r="57" spans="1:15" ht="11.4" customHeight="1" x14ac:dyDescent="0.3">
      <c r="A57" s="101" t="s">
        <v>956</v>
      </c>
      <c r="B57" s="84"/>
      <c r="C57" s="85"/>
      <c r="D57" s="9" t="s">
        <v>510</v>
      </c>
      <c r="E57" s="14" t="s">
        <v>1059</v>
      </c>
      <c r="F57" s="11" t="s">
        <v>913</v>
      </c>
      <c r="G57" s="15" t="s">
        <v>1060</v>
      </c>
      <c r="H57" s="11" t="s">
        <v>7</v>
      </c>
      <c r="I57" s="117" t="s">
        <v>1061</v>
      </c>
      <c r="J57" s="118"/>
      <c r="K57" s="11" t="s">
        <v>607</v>
      </c>
      <c r="L57" s="14" t="s">
        <v>4</v>
      </c>
      <c r="M57" s="88" t="s">
        <v>486</v>
      </c>
      <c r="N57" s="85"/>
      <c r="O57" s="16" t="s">
        <v>289</v>
      </c>
    </row>
    <row r="58" spans="1:15" ht="11.4" customHeight="1" x14ac:dyDescent="0.3">
      <c r="A58" s="88" t="s">
        <v>956</v>
      </c>
      <c r="B58" s="84"/>
      <c r="C58" s="85"/>
      <c r="D58" s="14" t="s">
        <v>535</v>
      </c>
      <c r="E58" s="9" t="s">
        <v>1062</v>
      </c>
      <c r="F58" s="15" t="s">
        <v>1063</v>
      </c>
      <c r="G58" s="11" t="s">
        <v>988</v>
      </c>
      <c r="H58" s="15" t="s">
        <v>7</v>
      </c>
      <c r="I58" s="117" t="s">
        <v>1064</v>
      </c>
      <c r="J58" s="118"/>
      <c r="K58" s="15" t="s">
        <v>641</v>
      </c>
      <c r="L58" s="9" t="s">
        <v>4</v>
      </c>
      <c r="M58" s="88" t="s">
        <v>486</v>
      </c>
      <c r="N58" s="85"/>
      <c r="O58" s="9" t="s">
        <v>309</v>
      </c>
    </row>
    <row r="59" spans="1:15" ht="11.4" customHeight="1" x14ac:dyDescent="0.3">
      <c r="A59" s="101" t="s">
        <v>956</v>
      </c>
      <c r="B59" s="84"/>
      <c r="C59" s="85"/>
      <c r="D59" s="9" t="s">
        <v>522</v>
      </c>
      <c r="E59" s="14" t="s">
        <v>1065</v>
      </c>
      <c r="F59" s="11" t="s">
        <v>656</v>
      </c>
      <c r="G59" s="15" t="s">
        <v>299</v>
      </c>
      <c r="H59" s="11" t="s">
        <v>7</v>
      </c>
      <c r="I59" s="117" t="s">
        <v>307</v>
      </c>
      <c r="J59" s="118"/>
      <c r="K59" s="11" t="s">
        <v>589</v>
      </c>
      <c r="L59" s="9" t="s">
        <v>4</v>
      </c>
      <c r="M59" s="88" t="s">
        <v>486</v>
      </c>
      <c r="N59" s="85"/>
      <c r="O59" s="9" t="s">
        <v>309</v>
      </c>
    </row>
    <row r="60" spans="1:15" ht="11.4" customHeight="1" x14ac:dyDescent="0.3">
      <c r="A60" s="88" t="s">
        <v>956</v>
      </c>
      <c r="B60" s="84"/>
      <c r="C60" s="85"/>
      <c r="D60" s="9" t="s">
        <v>545</v>
      </c>
      <c r="E60" s="9" t="s">
        <v>1066</v>
      </c>
      <c r="F60" s="11" t="s">
        <v>1067</v>
      </c>
      <c r="G60" s="11" t="s">
        <v>1068</v>
      </c>
      <c r="H60" s="11" t="s">
        <v>7</v>
      </c>
      <c r="I60" s="117" t="s">
        <v>1055</v>
      </c>
      <c r="J60" s="118"/>
      <c r="K60" s="11" t="s">
        <v>1037</v>
      </c>
      <c r="L60" s="9" t="s">
        <v>4</v>
      </c>
      <c r="M60" s="88" t="s">
        <v>486</v>
      </c>
      <c r="N60" s="85"/>
      <c r="O60" s="9" t="s">
        <v>309</v>
      </c>
    </row>
    <row r="61" spans="1:15" ht="2.85" customHeight="1" x14ac:dyDescent="0.3"/>
    <row r="62" spans="1:15" ht="11.4" customHeight="1" x14ac:dyDescent="0.3">
      <c r="A62" s="94" t="s">
        <v>612</v>
      </c>
      <c r="B62" s="81"/>
      <c r="C62" s="81"/>
      <c r="D62" s="81"/>
      <c r="E62" s="81"/>
      <c r="F62" s="81"/>
      <c r="G62" s="81"/>
      <c r="H62" s="12" t="s">
        <v>9</v>
      </c>
      <c r="I62" s="142" t="s">
        <v>1069</v>
      </c>
      <c r="J62" s="143"/>
      <c r="K62" s="97" t="s">
        <v>291</v>
      </c>
      <c r="L62" s="81"/>
      <c r="M62" s="81"/>
      <c r="N62" s="97" t="s">
        <v>292</v>
      </c>
      <c r="O62" s="81"/>
    </row>
    <row r="63" spans="1:15" ht="11.4" customHeight="1" x14ac:dyDescent="0.3">
      <c r="F63" s="97" t="s">
        <v>293</v>
      </c>
      <c r="G63" s="81"/>
      <c r="H63" s="13" t="s">
        <v>9</v>
      </c>
      <c r="I63" s="144" t="s">
        <v>1070</v>
      </c>
      <c r="J63" s="145"/>
      <c r="K63" s="100" t="s">
        <v>295</v>
      </c>
      <c r="L63" s="81"/>
      <c r="M63" s="81"/>
      <c r="N63" s="100" t="s">
        <v>295</v>
      </c>
      <c r="O63" s="81"/>
    </row>
    <row r="64" spans="1:15" ht="11.4" customHeight="1" x14ac:dyDescent="0.3"/>
    <row r="65" spans="1:15" ht="14.25" customHeight="1" x14ac:dyDescent="0.3">
      <c r="A65" s="126" t="s">
        <v>1071</v>
      </c>
      <c r="B65" s="81"/>
      <c r="C65" s="81"/>
      <c r="D65" s="81"/>
      <c r="E65" s="81"/>
      <c r="F65" s="81"/>
      <c r="G65" s="81"/>
      <c r="H65" s="81"/>
      <c r="I65" s="81"/>
      <c r="J65" s="127" t="s">
        <v>1072</v>
      </c>
      <c r="K65" s="81"/>
      <c r="L65" s="81"/>
      <c r="M65" s="81"/>
      <c r="N65" s="81"/>
      <c r="O65" s="81"/>
    </row>
    <row r="66" spans="1:15" ht="11.4" customHeight="1" x14ac:dyDescent="0.3"/>
  </sheetData>
  <mergeCells count="164">
    <mergeCell ref="A65:I65"/>
    <mergeCell ref="J65:O65"/>
    <mergeCell ref="A62:G62"/>
    <mergeCell ref="I62:J62"/>
    <mergeCell ref="K62:M62"/>
    <mergeCell ref="N62:O62"/>
    <mergeCell ref="F63:G63"/>
    <mergeCell ref="I63:J63"/>
    <mergeCell ref="K63:M63"/>
    <mergeCell ref="N63:O63"/>
    <mergeCell ref="A59:C59"/>
    <mergeCell ref="I59:J59"/>
    <mergeCell ref="M59:N59"/>
    <mergeCell ref="A60:C60"/>
    <mergeCell ref="I60:J60"/>
    <mergeCell ref="M60:N60"/>
    <mergeCell ref="A57:C57"/>
    <mergeCell ref="I57:J57"/>
    <mergeCell ref="M57:N57"/>
    <mergeCell ref="A58:C58"/>
    <mergeCell ref="I58:J58"/>
    <mergeCell ref="M58:N58"/>
    <mergeCell ref="A55:C55"/>
    <mergeCell ref="I55:J55"/>
    <mergeCell ref="M55:N55"/>
    <mergeCell ref="A56:C56"/>
    <mergeCell ref="I56:J56"/>
    <mergeCell ref="M56:N56"/>
    <mergeCell ref="A53:C53"/>
    <mergeCell ref="I53:J53"/>
    <mergeCell ref="M53:N53"/>
    <mergeCell ref="A54:C54"/>
    <mergeCell ref="I54:J54"/>
    <mergeCell ref="M54:N54"/>
    <mergeCell ref="A51:C51"/>
    <mergeCell ref="I51:J51"/>
    <mergeCell ref="M51:N51"/>
    <mergeCell ref="A52:C52"/>
    <mergeCell ref="I52:J52"/>
    <mergeCell ref="M52:N52"/>
    <mergeCell ref="A49:C49"/>
    <mergeCell ref="I49:J49"/>
    <mergeCell ref="M49:N49"/>
    <mergeCell ref="A50:C50"/>
    <mergeCell ref="I50:J50"/>
    <mergeCell ref="M50:N50"/>
    <mergeCell ref="A47:C47"/>
    <mergeCell ref="I47:J47"/>
    <mergeCell ref="M47:N47"/>
    <mergeCell ref="A48:C48"/>
    <mergeCell ref="I48:J48"/>
    <mergeCell ref="M48:N48"/>
    <mergeCell ref="F44:G44"/>
    <mergeCell ref="I44:J44"/>
    <mergeCell ref="K44:M44"/>
    <mergeCell ref="N44:O44"/>
    <mergeCell ref="A46:C46"/>
    <mergeCell ref="I46:J46"/>
    <mergeCell ref="M46:N46"/>
    <mergeCell ref="A41:C41"/>
    <mergeCell ref="I41:J41"/>
    <mergeCell ref="M41:N41"/>
    <mergeCell ref="A43:G43"/>
    <mergeCell ref="I43:J43"/>
    <mergeCell ref="K43:M43"/>
    <mergeCell ref="N43:O43"/>
    <mergeCell ref="A39:C39"/>
    <mergeCell ref="I39:J39"/>
    <mergeCell ref="M39:N39"/>
    <mergeCell ref="A40:C40"/>
    <mergeCell ref="I40:J40"/>
    <mergeCell ref="M40:N40"/>
    <mergeCell ref="A37:C37"/>
    <mergeCell ref="I37:J37"/>
    <mergeCell ref="M37:N37"/>
    <mergeCell ref="A38:C38"/>
    <mergeCell ref="I38:J38"/>
    <mergeCell ref="M38:N38"/>
    <mergeCell ref="A35:C35"/>
    <mergeCell ref="I35:J35"/>
    <mergeCell ref="M35:N35"/>
    <mergeCell ref="A36:C36"/>
    <mergeCell ref="I36:J36"/>
    <mergeCell ref="M36:N36"/>
    <mergeCell ref="A33:C33"/>
    <mergeCell ref="I33:J33"/>
    <mergeCell ref="M33:N33"/>
    <mergeCell ref="A34:C34"/>
    <mergeCell ref="I34:J34"/>
    <mergeCell ref="M34:N34"/>
    <mergeCell ref="A31:C31"/>
    <mergeCell ref="I31:J31"/>
    <mergeCell ref="M31:N31"/>
    <mergeCell ref="A32:C32"/>
    <mergeCell ref="I32:J32"/>
    <mergeCell ref="M32:N32"/>
    <mergeCell ref="A29:C29"/>
    <mergeCell ref="I29:J29"/>
    <mergeCell ref="M29:N29"/>
    <mergeCell ref="A30:C30"/>
    <mergeCell ref="I30:J30"/>
    <mergeCell ref="M30:N30"/>
    <mergeCell ref="A26:G26"/>
    <mergeCell ref="I26:J26"/>
    <mergeCell ref="K26:M26"/>
    <mergeCell ref="N26:O26"/>
    <mergeCell ref="F27:G27"/>
    <mergeCell ref="I27:J27"/>
    <mergeCell ref="K27:M27"/>
    <mergeCell ref="N27:O27"/>
    <mergeCell ref="A23:C23"/>
    <mergeCell ref="I23:J23"/>
    <mergeCell ref="M23:N23"/>
    <mergeCell ref="A24:C24"/>
    <mergeCell ref="I24:J24"/>
    <mergeCell ref="M24:N24"/>
    <mergeCell ref="A20:G20"/>
    <mergeCell ref="I20:J20"/>
    <mergeCell ref="K20:M20"/>
    <mergeCell ref="N20:O20"/>
    <mergeCell ref="F21:G21"/>
    <mergeCell ref="I21:J21"/>
    <mergeCell ref="K21:M21"/>
    <mergeCell ref="N21:O21"/>
    <mergeCell ref="A17:C17"/>
    <mergeCell ref="I17:J17"/>
    <mergeCell ref="M17:N17"/>
    <mergeCell ref="A18:C18"/>
    <mergeCell ref="I18:J18"/>
    <mergeCell ref="M18:N18"/>
    <mergeCell ref="A15:C15"/>
    <mergeCell ref="I15:J15"/>
    <mergeCell ref="M15:N15"/>
    <mergeCell ref="A16:C16"/>
    <mergeCell ref="I16:J16"/>
    <mergeCell ref="M16:N16"/>
    <mergeCell ref="F12:G12"/>
    <mergeCell ref="I12:J12"/>
    <mergeCell ref="K12:M12"/>
    <mergeCell ref="N12:O12"/>
    <mergeCell ref="A14:C14"/>
    <mergeCell ref="I14:J14"/>
    <mergeCell ref="M14:N14"/>
    <mergeCell ref="A9:C9"/>
    <mergeCell ref="I9:J9"/>
    <mergeCell ref="M9:N9"/>
    <mergeCell ref="A11:G11"/>
    <mergeCell ref="I11:J11"/>
    <mergeCell ref="K11:M11"/>
    <mergeCell ref="N11:O11"/>
    <mergeCell ref="A7:C7"/>
    <mergeCell ref="I7:J7"/>
    <mergeCell ref="M7:N7"/>
    <mergeCell ref="A8:C8"/>
    <mergeCell ref="I8:J8"/>
    <mergeCell ref="M8:N8"/>
    <mergeCell ref="A1:O1"/>
    <mergeCell ref="C3:O3"/>
    <mergeCell ref="A5:C5"/>
    <mergeCell ref="I5:J5"/>
    <mergeCell ref="M5:N5"/>
    <mergeCell ref="A6:C6"/>
    <mergeCell ref="I6:J6"/>
    <mergeCell ref="M6:N6"/>
  </mergeCells>
  <pageMargins left="0.3611111111111111" right="0.3611111111111111" top="0.3611111111111111" bottom="0.3611111111111111" header="0.3" footer="0.3"/>
  <pageSetup orientation="portrait" r:id="rId1"/>
  <rowBreaks count="1" manualBreakCount="1">
    <brk id="6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"/>
  <sheetViews>
    <sheetView topLeftCell="A46" workbookViewId="0">
      <selection activeCell="D58" sqref="D58:E58"/>
    </sheetView>
  </sheetViews>
  <sheetFormatPr defaultColWidth="9.109375" defaultRowHeight="14.4" x14ac:dyDescent="0.3"/>
  <cols>
    <col min="1" max="1" width="11.109375" style="3" customWidth="1"/>
    <col min="2" max="3" width="0.88671875" style="3" customWidth="1"/>
    <col min="4" max="4" width="12.5546875" style="3" customWidth="1"/>
    <col min="5" max="5" width="10.109375" style="3" customWidth="1"/>
    <col min="6" max="8" width="7.88671875" style="3" customWidth="1"/>
    <col min="9" max="9" width="4.44140625" style="3" customWidth="1"/>
    <col min="10" max="10" width="4" style="3" customWidth="1"/>
    <col min="11" max="12" width="7.33203125" style="3" customWidth="1"/>
    <col min="13" max="13" width="1.5546875" style="3" customWidth="1"/>
    <col min="14" max="14" width="7.88671875" style="3" customWidth="1"/>
    <col min="15" max="15" width="8.33203125" style="3" customWidth="1"/>
    <col min="16" max="256" width="9.109375" style="3"/>
    <col min="257" max="257" width="11.109375" style="3" customWidth="1"/>
    <col min="258" max="259" width="0.88671875" style="3" customWidth="1"/>
    <col min="260" max="260" width="12.5546875" style="3" customWidth="1"/>
    <col min="261" max="261" width="10.109375" style="3" customWidth="1"/>
    <col min="262" max="264" width="7.88671875" style="3" customWidth="1"/>
    <col min="265" max="265" width="4.44140625" style="3" customWidth="1"/>
    <col min="266" max="266" width="4" style="3" customWidth="1"/>
    <col min="267" max="268" width="7.33203125" style="3" customWidth="1"/>
    <col min="269" max="269" width="1.5546875" style="3" customWidth="1"/>
    <col min="270" max="270" width="7.88671875" style="3" customWidth="1"/>
    <col min="271" max="271" width="8.33203125" style="3" customWidth="1"/>
    <col min="272" max="512" width="9.109375" style="3"/>
    <col min="513" max="513" width="11.109375" style="3" customWidth="1"/>
    <col min="514" max="515" width="0.88671875" style="3" customWidth="1"/>
    <col min="516" max="516" width="12.5546875" style="3" customWidth="1"/>
    <col min="517" max="517" width="10.109375" style="3" customWidth="1"/>
    <col min="518" max="520" width="7.88671875" style="3" customWidth="1"/>
    <col min="521" max="521" width="4.44140625" style="3" customWidth="1"/>
    <col min="522" max="522" width="4" style="3" customWidth="1"/>
    <col min="523" max="524" width="7.33203125" style="3" customWidth="1"/>
    <col min="525" max="525" width="1.5546875" style="3" customWidth="1"/>
    <col min="526" max="526" width="7.88671875" style="3" customWidth="1"/>
    <col min="527" max="527" width="8.33203125" style="3" customWidth="1"/>
    <col min="528" max="768" width="9.109375" style="3"/>
    <col min="769" max="769" width="11.109375" style="3" customWidth="1"/>
    <col min="770" max="771" width="0.88671875" style="3" customWidth="1"/>
    <col min="772" max="772" width="12.5546875" style="3" customWidth="1"/>
    <col min="773" max="773" width="10.109375" style="3" customWidth="1"/>
    <col min="774" max="776" width="7.88671875" style="3" customWidth="1"/>
    <col min="777" max="777" width="4.44140625" style="3" customWidth="1"/>
    <col min="778" max="778" width="4" style="3" customWidth="1"/>
    <col min="779" max="780" width="7.33203125" style="3" customWidth="1"/>
    <col min="781" max="781" width="1.5546875" style="3" customWidth="1"/>
    <col min="782" max="782" width="7.88671875" style="3" customWidth="1"/>
    <col min="783" max="783" width="8.33203125" style="3" customWidth="1"/>
    <col min="784" max="1024" width="9.109375" style="3"/>
    <col min="1025" max="1025" width="11.109375" style="3" customWidth="1"/>
    <col min="1026" max="1027" width="0.88671875" style="3" customWidth="1"/>
    <col min="1028" max="1028" width="12.5546875" style="3" customWidth="1"/>
    <col min="1029" max="1029" width="10.109375" style="3" customWidth="1"/>
    <col min="1030" max="1032" width="7.88671875" style="3" customWidth="1"/>
    <col min="1033" max="1033" width="4.44140625" style="3" customWidth="1"/>
    <col min="1034" max="1034" width="4" style="3" customWidth="1"/>
    <col min="1035" max="1036" width="7.33203125" style="3" customWidth="1"/>
    <col min="1037" max="1037" width="1.5546875" style="3" customWidth="1"/>
    <col min="1038" max="1038" width="7.88671875" style="3" customWidth="1"/>
    <col min="1039" max="1039" width="8.33203125" style="3" customWidth="1"/>
    <col min="1040" max="1280" width="9.109375" style="3"/>
    <col min="1281" max="1281" width="11.109375" style="3" customWidth="1"/>
    <col min="1282" max="1283" width="0.88671875" style="3" customWidth="1"/>
    <col min="1284" max="1284" width="12.5546875" style="3" customWidth="1"/>
    <col min="1285" max="1285" width="10.109375" style="3" customWidth="1"/>
    <col min="1286" max="1288" width="7.88671875" style="3" customWidth="1"/>
    <col min="1289" max="1289" width="4.44140625" style="3" customWidth="1"/>
    <col min="1290" max="1290" width="4" style="3" customWidth="1"/>
    <col min="1291" max="1292" width="7.33203125" style="3" customWidth="1"/>
    <col min="1293" max="1293" width="1.5546875" style="3" customWidth="1"/>
    <col min="1294" max="1294" width="7.88671875" style="3" customWidth="1"/>
    <col min="1295" max="1295" width="8.33203125" style="3" customWidth="1"/>
    <col min="1296" max="1536" width="9.109375" style="3"/>
    <col min="1537" max="1537" width="11.109375" style="3" customWidth="1"/>
    <col min="1538" max="1539" width="0.88671875" style="3" customWidth="1"/>
    <col min="1540" max="1540" width="12.5546875" style="3" customWidth="1"/>
    <col min="1541" max="1541" width="10.109375" style="3" customWidth="1"/>
    <col min="1542" max="1544" width="7.88671875" style="3" customWidth="1"/>
    <col min="1545" max="1545" width="4.44140625" style="3" customWidth="1"/>
    <col min="1546" max="1546" width="4" style="3" customWidth="1"/>
    <col min="1547" max="1548" width="7.33203125" style="3" customWidth="1"/>
    <col min="1549" max="1549" width="1.5546875" style="3" customWidth="1"/>
    <col min="1550" max="1550" width="7.88671875" style="3" customWidth="1"/>
    <col min="1551" max="1551" width="8.33203125" style="3" customWidth="1"/>
    <col min="1552" max="1792" width="9.109375" style="3"/>
    <col min="1793" max="1793" width="11.109375" style="3" customWidth="1"/>
    <col min="1794" max="1795" width="0.88671875" style="3" customWidth="1"/>
    <col min="1796" max="1796" width="12.5546875" style="3" customWidth="1"/>
    <col min="1797" max="1797" width="10.109375" style="3" customWidth="1"/>
    <col min="1798" max="1800" width="7.88671875" style="3" customWidth="1"/>
    <col min="1801" max="1801" width="4.44140625" style="3" customWidth="1"/>
    <col min="1802" max="1802" width="4" style="3" customWidth="1"/>
    <col min="1803" max="1804" width="7.33203125" style="3" customWidth="1"/>
    <col min="1805" max="1805" width="1.5546875" style="3" customWidth="1"/>
    <col min="1806" max="1806" width="7.88671875" style="3" customWidth="1"/>
    <col min="1807" max="1807" width="8.33203125" style="3" customWidth="1"/>
    <col min="1808" max="2048" width="9.109375" style="3"/>
    <col min="2049" max="2049" width="11.109375" style="3" customWidth="1"/>
    <col min="2050" max="2051" width="0.88671875" style="3" customWidth="1"/>
    <col min="2052" max="2052" width="12.5546875" style="3" customWidth="1"/>
    <col min="2053" max="2053" width="10.109375" style="3" customWidth="1"/>
    <col min="2054" max="2056" width="7.88671875" style="3" customWidth="1"/>
    <col min="2057" max="2057" width="4.44140625" style="3" customWidth="1"/>
    <col min="2058" max="2058" width="4" style="3" customWidth="1"/>
    <col min="2059" max="2060" width="7.33203125" style="3" customWidth="1"/>
    <col min="2061" max="2061" width="1.5546875" style="3" customWidth="1"/>
    <col min="2062" max="2062" width="7.88671875" style="3" customWidth="1"/>
    <col min="2063" max="2063" width="8.33203125" style="3" customWidth="1"/>
    <col min="2064" max="2304" width="9.109375" style="3"/>
    <col min="2305" max="2305" width="11.109375" style="3" customWidth="1"/>
    <col min="2306" max="2307" width="0.88671875" style="3" customWidth="1"/>
    <col min="2308" max="2308" width="12.5546875" style="3" customWidth="1"/>
    <col min="2309" max="2309" width="10.109375" style="3" customWidth="1"/>
    <col min="2310" max="2312" width="7.88671875" style="3" customWidth="1"/>
    <col min="2313" max="2313" width="4.44140625" style="3" customWidth="1"/>
    <col min="2314" max="2314" width="4" style="3" customWidth="1"/>
    <col min="2315" max="2316" width="7.33203125" style="3" customWidth="1"/>
    <col min="2317" max="2317" width="1.5546875" style="3" customWidth="1"/>
    <col min="2318" max="2318" width="7.88671875" style="3" customWidth="1"/>
    <col min="2319" max="2319" width="8.33203125" style="3" customWidth="1"/>
    <col min="2320" max="2560" width="9.109375" style="3"/>
    <col min="2561" max="2561" width="11.109375" style="3" customWidth="1"/>
    <col min="2562" max="2563" width="0.88671875" style="3" customWidth="1"/>
    <col min="2564" max="2564" width="12.5546875" style="3" customWidth="1"/>
    <col min="2565" max="2565" width="10.109375" style="3" customWidth="1"/>
    <col min="2566" max="2568" width="7.88671875" style="3" customWidth="1"/>
    <col min="2569" max="2569" width="4.44140625" style="3" customWidth="1"/>
    <col min="2570" max="2570" width="4" style="3" customWidth="1"/>
    <col min="2571" max="2572" width="7.33203125" style="3" customWidth="1"/>
    <col min="2573" max="2573" width="1.5546875" style="3" customWidth="1"/>
    <col min="2574" max="2574" width="7.88671875" style="3" customWidth="1"/>
    <col min="2575" max="2575" width="8.33203125" style="3" customWidth="1"/>
    <col min="2576" max="2816" width="9.109375" style="3"/>
    <col min="2817" max="2817" width="11.109375" style="3" customWidth="1"/>
    <col min="2818" max="2819" width="0.88671875" style="3" customWidth="1"/>
    <col min="2820" max="2820" width="12.5546875" style="3" customWidth="1"/>
    <col min="2821" max="2821" width="10.109375" style="3" customWidth="1"/>
    <col min="2822" max="2824" width="7.88671875" style="3" customWidth="1"/>
    <col min="2825" max="2825" width="4.44140625" style="3" customWidth="1"/>
    <col min="2826" max="2826" width="4" style="3" customWidth="1"/>
    <col min="2827" max="2828" width="7.33203125" style="3" customWidth="1"/>
    <col min="2829" max="2829" width="1.5546875" style="3" customWidth="1"/>
    <col min="2830" max="2830" width="7.88671875" style="3" customWidth="1"/>
    <col min="2831" max="2831" width="8.33203125" style="3" customWidth="1"/>
    <col min="2832" max="3072" width="9.109375" style="3"/>
    <col min="3073" max="3073" width="11.109375" style="3" customWidth="1"/>
    <col min="3074" max="3075" width="0.88671875" style="3" customWidth="1"/>
    <col min="3076" max="3076" width="12.5546875" style="3" customWidth="1"/>
    <col min="3077" max="3077" width="10.109375" style="3" customWidth="1"/>
    <col min="3078" max="3080" width="7.88671875" style="3" customWidth="1"/>
    <col min="3081" max="3081" width="4.44140625" style="3" customWidth="1"/>
    <col min="3082" max="3082" width="4" style="3" customWidth="1"/>
    <col min="3083" max="3084" width="7.33203125" style="3" customWidth="1"/>
    <col min="3085" max="3085" width="1.5546875" style="3" customWidth="1"/>
    <col min="3086" max="3086" width="7.88671875" style="3" customWidth="1"/>
    <col min="3087" max="3087" width="8.33203125" style="3" customWidth="1"/>
    <col min="3088" max="3328" width="9.109375" style="3"/>
    <col min="3329" max="3329" width="11.109375" style="3" customWidth="1"/>
    <col min="3330" max="3331" width="0.88671875" style="3" customWidth="1"/>
    <col min="3332" max="3332" width="12.5546875" style="3" customWidth="1"/>
    <col min="3333" max="3333" width="10.109375" style="3" customWidth="1"/>
    <col min="3334" max="3336" width="7.88671875" style="3" customWidth="1"/>
    <col min="3337" max="3337" width="4.44140625" style="3" customWidth="1"/>
    <col min="3338" max="3338" width="4" style="3" customWidth="1"/>
    <col min="3339" max="3340" width="7.33203125" style="3" customWidth="1"/>
    <col min="3341" max="3341" width="1.5546875" style="3" customWidth="1"/>
    <col min="3342" max="3342" width="7.88671875" style="3" customWidth="1"/>
    <col min="3343" max="3343" width="8.33203125" style="3" customWidth="1"/>
    <col min="3344" max="3584" width="9.109375" style="3"/>
    <col min="3585" max="3585" width="11.109375" style="3" customWidth="1"/>
    <col min="3586" max="3587" width="0.88671875" style="3" customWidth="1"/>
    <col min="3588" max="3588" width="12.5546875" style="3" customWidth="1"/>
    <col min="3589" max="3589" width="10.109375" style="3" customWidth="1"/>
    <col min="3590" max="3592" width="7.88671875" style="3" customWidth="1"/>
    <col min="3593" max="3593" width="4.44140625" style="3" customWidth="1"/>
    <col min="3594" max="3594" width="4" style="3" customWidth="1"/>
    <col min="3595" max="3596" width="7.33203125" style="3" customWidth="1"/>
    <col min="3597" max="3597" width="1.5546875" style="3" customWidth="1"/>
    <col min="3598" max="3598" width="7.88671875" style="3" customWidth="1"/>
    <col min="3599" max="3599" width="8.33203125" style="3" customWidth="1"/>
    <col min="3600" max="3840" width="9.109375" style="3"/>
    <col min="3841" max="3841" width="11.109375" style="3" customWidth="1"/>
    <col min="3842" max="3843" width="0.88671875" style="3" customWidth="1"/>
    <col min="3844" max="3844" width="12.5546875" style="3" customWidth="1"/>
    <col min="3845" max="3845" width="10.109375" style="3" customWidth="1"/>
    <col min="3846" max="3848" width="7.88671875" style="3" customWidth="1"/>
    <col min="3849" max="3849" width="4.44140625" style="3" customWidth="1"/>
    <col min="3850" max="3850" width="4" style="3" customWidth="1"/>
    <col min="3851" max="3852" width="7.33203125" style="3" customWidth="1"/>
    <col min="3853" max="3853" width="1.5546875" style="3" customWidth="1"/>
    <col min="3854" max="3854" width="7.88671875" style="3" customWidth="1"/>
    <col min="3855" max="3855" width="8.33203125" style="3" customWidth="1"/>
    <col min="3856" max="4096" width="9.109375" style="3"/>
    <col min="4097" max="4097" width="11.109375" style="3" customWidth="1"/>
    <col min="4098" max="4099" width="0.88671875" style="3" customWidth="1"/>
    <col min="4100" max="4100" width="12.5546875" style="3" customWidth="1"/>
    <col min="4101" max="4101" width="10.109375" style="3" customWidth="1"/>
    <col min="4102" max="4104" width="7.88671875" style="3" customWidth="1"/>
    <col min="4105" max="4105" width="4.44140625" style="3" customWidth="1"/>
    <col min="4106" max="4106" width="4" style="3" customWidth="1"/>
    <col min="4107" max="4108" width="7.33203125" style="3" customWidth="1"/>
    <col min="4109" max="4109" width="1.5546875" style="3" customWidth="1"/>
    <col min="4110" max="4110" width="7.88671875" style="3" customWidth="1"/>
    <col min="4111" max="4111" width="8.33203125" style="3" customWidth="1"/>
    <col min="4112" max="4352" width="9.109375" style="3"/>
    <col min="4353" max="4353" width="11.109375" style="3" customWidth="1"/>
    <col min="4354" max="4355" width="0.88671875" style="3" customWidth="1"/>
    <col min="4356" max="4356" width="12.5546875" style="3" customWidth="1"/>
    <col min="4357" max="4357" width="10.109375" style="3" customWidth="1"/>
    <col min="4358" max="4360" width="7.88671875" style="3" customWidth="1"/>
    <col min="4361" max="4361" width="4.44140625" style="3" customWidth="1"/>
    <col min="4362" max="4362" width="4" style="3" customWidth="1"/>
    <col min="4363" max="4364" width="7.33203125" style="3" customWidth="1"/>
    <col min="4365" max="4365" width="1.5546875" style="3" customWidth="1"/>
    <col min="4366" max="4366" width="7.88671875" style="3" customWidth="1"/>
    <col min="4367" max="4367" width="8.33203125" style="3" customWidth="1"/>
    <col min="4368" max="4608" width="9.109375" style="3"/>
    <col min="4609" max="4609" width="11.109375" style="3" customWidth="1"/>
    <col min="4610" max="4611" width="0.88671875" style="3" customWidth="1"/>
    <col min="4612" max="4612" width="12.5546875" style="3" customWidth="1"/>
    <col min="4613" max="4613" width="10.109375" style="3" customWidth="1"/>
    <col min="4614" max="4616" width="7.88671875" style="3" customWidth="1"/>
    <col min="4617" max="4617" width="4.44140625" style="3" customWidth="1"/>
    <col min="4618" max="4618" width="4" style="3" customWidth="1"/>
    <col min="4619" max="4620" width="7.33203125" style="3" customWidth="1"/>
    <col min="4621" max="4621" width="1.5546875" style="3" customWidth="1"/>
    <col min="4622" max="4622" width="7.88671875" style="3" customWidth="1"/>
    <col min="4623" max="4623" width="8.33203125" style="3" customWidth="1"/>
    <col min="4624" max="4864" width="9.109375" style="3"/>
    <col min="4865" max="4865" width="11.109375" style="3" customWidth="1"/>
    <col min="4866" max="4867" width="0.88671875" style="3" customWidth="1"/>
    <col min="4868" max="4868" width="12.5546875" style="3" customWidth="1"/>
    <col min="4869" max="4869" width="10.109375" style="3" customWidth="1"/>
    <col min="4870" max="4872" width="7.88671875" style="3" customWidth="1"/>
    <col min="4873" max="4873" width="4.44140625" style="3" customWidth="1"/>
    <col min="4874" max="4874" width="4" style="3" customWidth="1"/>
    <col min="4875" max="4876" width="7.33203125" style="3" customWidth="1"/>
    <col min="4877" max="4877" width="1.5546875" style="3" customWidth="1"/>
    <col min="4878" max="4878" width="7.88671875" style="3" customWidth="1"/>
    <col min="4879" max="4879" width="8.33203125" style="3" customWidth="1"/>
    <col min="4880" max="5120" width="9.109375" style="3"/>
    <col min="5121" max="5121" width="11.109375" style="3" customWidth="1"/>
    <col min="5122" max="5123" width="0.88671875" style="3" customWidth="1"/>
    <col min="5124" max="5124" width="12.5546875" style="3" customWidth="1"/>
    <col min="5125" max="5125" width="10.109375" style="3" customWidth="1"/>
    <col min="5126" max="5128" width="7.88671875" style="3" customWidth="1"/>
    <col min="5129" max="5129" width="4.44140625" style="3" customWidth="1"/>
    <col min="5130" max="5130" width="4" style="3" customWidth="1"/>
    <col min="5131" max="5132" width="7.33203125" style="3" customWidth="1"/>
    <col min="5133" max="5133" width="1.5546875" style="3" customWidth="1"/>
    <col min="5134" max="5134" width="7.88671875" style="3" customWidth="1"/>
    <col min="5135" max="5135" width="8.33203125" style="3" customWidth="1"/>
    <col min="5136" max="5376" width="9.109375" style="3"/>
    <col min="5377" max="5377" width="11.109375" style="3" customWidth="1"/>
    <col min="5378" max="5379" width="0.88671875" style="3" customWidth="1"/>
    <col min="5380" max="5380" width="12.5546875" style="3" customWidth="1"/>
    <col min="5381" max="5381" width="10.109375" style="3" customWidth="1"/>
    <col min="5382" max="5384" width="7.88671875" style="3" customWidth="1"/>
    <col min="5385" max="5385" width="4.44140625" style="3" customWidth="1"/>
    <col min="5386" max="5386" width="4" style="3" customWidth="1"/>
    <col min="5387" max="5388" width="7.33203125" style="3" customWidth="1"/>
    <col min="5389" max="5389" width="1.5546875" style="3" customWidth="1"/>
    <col min="5390" max="5390" width="7.88671875" style="3" customWidth="1"/>
    <col min="5391" max="5391" width="8.33203125" style="3" customWidth="1"/>
    <col min="5392" max="5632" width="9.109375" style="3"/>
    <col min="5633" max="5633" width="11.109375" style="3" customWidth="1"/>
    <col min="5634" max="5635" width="0.88671875" style="3" customWidth="1"/>
    <col min="5636" max="5636" width="12.5546875" style="3" customWidth="1"/>
    <col min="5637" max="5637" width="10.109375" style="3" customWidth="1"/>
    <col min="5638" max="5640" width="7.88671875" style="3" customWidth="1"/>
    <col min="5641" max="5641" width="4.44140625" style="3" customWidth="1"/>
    <col min="5642" max="5642" width="4" style="3" customWidth="1"/>
    <col min="5643" max="5644" width="7.33203125" style="3" customWidth="1"/>
    <col min="5645" max="5645" width="1.5546875" style="3" customWidth="1"/>
    <col min="5646" max="5646" width="7.88671875" style="3" customWidth="1"/>
    <col min="5647" max="5647" width="8.33203125" style="3" customWidth="1"/>
    <col min="5648" max="5888" width="9.109375" style="3"/>
    <col min="5889" max="5889" width="11.109375" style="3" customWidth="1"/>
    <col min="5890" max="5891" width="0.88671875" style="3" customWidth="1"/>
    <col min="5892" max="5892" width="12.5546875" style="3" customWidth="1"/>
    <col min="5893" max="5893" width="10.109375" style="3" customWidth="1"/>
    <col min="5894" max="5896" width="7.88671875" style="3" customWidth="1"/>
    <col min="5897" max="5897" width="4.44140625" style="3" customWidth="1"/>
    <col min="5898" max="5898" width="4" style="3" customWidth="1"/>
    <col min="5899" max="5900" width="7.33203125" style="3" customWidth="1"/>
    <col min="5901" max="5901" width="1.5546875" style="3" customWidth="1"/>
    <col min="5902" max="5902" width="7.88671875" style="3" customWidth="1"/>
    <col min="5903" max="5903" width="8.33203125" style="3" customWidth="1"/>
    <col min="5904" max="6144" width="9.109375" style="3"/>
    <col min="6145" max="6145" width="11.109375" style="3" customWidth="1"/>
    <col min="6146" max="6147" width="0.88671875" style="3" customWidth="1"/>
    <col min="6148" max="6148" width="12.5546875" style="3" customWidth="1"/>
    <col min="6149" max="6149" width="10.109375" style="3" customWidth="1"/>
    <col min="6150" max="6152" width="7.88671875" style="3" customWidth="1"/>
    <col min="6153" max="6153" width="4.44140625" style="3" customWidth="1"/>
    <col min="6154" max="6154" width="4" style="3" customWidth="1"/>
    <col min="6155" max="6156" width="7.33203125" style="3" customWidth="1"/>
    <col min="6157" max="6157" width="1.5546875" style="3" customWidth="1"/>
    <col min="6158" max="6158" width="7.88671875" style="3" customWidth="1"/>
    <col min="6159" max="6159" width="8.33203125" style="3" customWidth="1"/>
    <col min="6160" max="6400" width="9.109375" style="3"/>
    <col min="6401" max="6401" width="11.109375" style="3" customWidth="1"/>
    <col min="6402" max="6403" width="0.88671875" style="3" customWidth="1"/>
    <col min="6404" max="6404" width="12.5546875" style="3" customWidth="1"/>
    <col min="6405" max="6405" width="10.109375" style="3" customWidth="1"/>
    <col min="6406" max="6408" width="7.88671875" style="3" customWidth="1"/>
    <col min="6409" max="6409" width="4.44140625" style="3" customWidth="1"/>
    <col min="6410" max="6410" width="4" style="3" customWidth="1"/>
    <col min="6411" max="6412" width="7.33203125" style="3" customWidth="1"/>
    <col min="6413" max="6413" width="1.5546875" style="3" customWidth="1"/>
    <col min="6414" max="6414" width="7.88671875" style="3" customWidth="1"/>
    <col min="6415" max="6415" width="8.33203125" style="3" customWidth="1"/>
    <col min="6416" max="6656" width="9.109375" style="3"/>
    <col min="6657" max="6657" width="11.109375" style="3" customWidth="1"/>
    <col min="6658" max="6659" width="0.88671875" style="3" customWidth="1"/>
    <col min="6660" max="6660" width="12.5546875" style="3" customWidth="1"/>
    <col min="6661" max="6661" width="10.109375" style="3" customWidth="1"/>
    <col min="6662" max="6664" width="7.88671875" style="3" customWidth="1"/>
    <col min="6665" max="6665" width="4.44140625" style="3" customWidth="1"/>
    <col min="6666" max="6666" width="4" style="3" customWidth="1"/>
    <col min="6667" max="6668" width="7.33203125" style="3" customWidth="1"/>
    <col min="6669" max="6669" width="1.5546875" style="3" customWidth="1"/>
    <col min="6670" max="6670" width="7.88671875" style="3" customWidth="1"/>
    <col min="6671" max="6671" width="8.33203125" style="3" customWidth="1"/>
    <col min="6672" max="6912" width="9.109375" style="3"/>
    <col min="6913" max="6913" width="11.109375" style="3" customWidth="1"/>
    <col min="6914" max="6915" width="0.88671875" style="3" customWidth="1"/>
    <col min="6916" max="6916" width="12.5546875" style="3" customWidth="1"/>
    <col min="6917" max="6917" width="10.109375" style="3" customWidth="1"/>
    <col min="6918" max="6920" width="7.88671875" style="3" customWidth="1"/>
    <col min="6921" max="6921" width="4.44140625" style="3" customWidth="1"/>
    <col min="6922" max="6922" width="4" style="3" customWidth="1"/>
    <col min="6923" max="6924" width="7.33203125" style="3" customWidth="1"/>
    <col min="6925" max="6925" width="1.5546875" style="3" customWidth="1"/>
    <col min="6926" max="6926" width="7.88671875" style="3" customWidth="1"/>
    <col min="6927" max="6927" width="8.33203125" style="3" customWidth="1"/>
    <col min="6928" max="7168" width="9.109375" style="3"/>
    <col min="7169" max="7169" width="11.109375" style="3" customWidth="1"/>
    <col min="7170" max="7171" width="0.88671875" style="3" customWidth="1"/>
    <col min="7172" max="7172" width="12.5546875" style="3" customWidth="1"/>
    <col min="7173" max="7173" width="10.109375" style="3" customWidth="1"/>
    <col min="7174" max="7176" width="7.88671875" style="3" customWidth="1"/>
    <col min="7177" max="7177" width="4.44140625" style="3" customWidth="1"/>
    <col min="7178" max="7178" width="4" style="3" customWidth="1"/>
    <col min="7179" max="7180" width="7.33203125" style="3" customWidth="1"/>
    <col min="7181" max="7181" width="1.5546875" style="3" customWidth="1"/>
    <col min="7182" max="7182" width="7.88671875" style="3" customWidth="1"/>
    <col min="7183" max="7183" width="8.33203125" style="3" customWidth="1"/>
    <col min="7184" max="7424" width="9.109375" style="3"/>
    <col min="7425" max="7425" width="11.109375" style="3" customWidth="1"/>
    <col min="7426" max="7427" width="0.88671875" style="3" customWidth="1"/>
    <col min="7428" max="7428" width="12.5546875" style="3" customWidth="1"/>
    <col min="7429" max="7429" width="10.109375" style="3" customWidth="1"/>
    <col min="7430" max="7432" width="7.88671875" style="3" customWidth="1"/>
    <col min="7433" max="7433" width="4.44140625" style="3" customWidth="1"/>
    <col min="7434" max="7434" width="4" style="3" customWidth="1"/>
    <col min="7435" max="7436" width="7.33203125" style="3" customWidth="1"/>
    <col min="7437" max="7437" width="1.5546875" style="3" customWidth="1"/>
    <col min="7438" max="7438" width="7.88671875" style="3" customWidth="1"/>
    <col min="7439" max="7439" width="8.33203125" style="3" customWidth="1"/>
    <col min="7440" max="7680" width="9.109375" style="3"/>
    <col min="7681" max="7681" width="11.109375" style="3" customWidth="1"/>
    <col min="7682" max="7683" width="0.88671875" style="3" customWidth="1"/>
    <col min="7684" max="7684" width="12.5546875" style="3" customWidth="1"/>
    <col min="7685" max="7685" width="10.109375" style="3" customWidth="1"/>
    <col min="7686" max="7688" width="7.88671875" style="3" customWidth="1"/>
    <col min="7689" max="7689" width="4.44140625" style="3" customWidth="1"/>
    <col min="7690" max="7690" width="4" style="3" customWidth="1"/>
    <col min="7691" max="7692" width="7.33203125" style="3" customWidth="1"/>
    <col min="7693" max="7693" width="1.5546875" style="3" customWidth="1"/>
    <col min="7694" max="7694" width="7.88671875" style="3" customWidth="1"/>
    <col min="7695" max="7695" width="8.33203125" style="3" customWidth="1"/>
    <col min="7696" max="7936" width="9.109375" style="3"/>
    <col min="7937" max="7937" width="11.109375" style="3" customWidth="1"/>
    <col min="7938" max="7939" width="0.88671875" style="3" customWidth="1"/>
    <col min="7940" max="7940" width="12.5546875" style="3" customWidth="1"/>
    <col min="7941" max="7941" width="10.109375" style="3" customWidth="1"/>
    <col min="7942" max="7944" width="7.88671875" style="3" customWidth="1"/>
    <col min="7945" max="7945" width="4.44140625" style="3" customWidth="1"/>
    <col min="7946" max="7946" width="4" style="3" customWidth="1"/>
    <col min="7947" max="7948" width="7.33203125" style="3" customWidth="1"/>
    <col min="7949" max="7949" width="1.5546875" style="3" customWidth="1"/>
    <col min="7950" max="7950" width="7.88671875" style="3" customWidth="1"/>
    <col min="7951" max="7951" width="8.33203125" style="3" customWidth="1"/>
    <col min="7952" max="8192" width="9.109375" style="3"/>
    <col min="8193" max="8193" width="11.109375" style="3" customWidth="1"/>
    <col min="8194" max="8195" width="0.88671875" style="3" customWidth="1"/>
    <col min="8196" max="8196" width="12.5546875" style="3" customWidth="1"/>
    <col min="8197" max="8197" width="10.109375" style="3" customWidth="1"/>
    <col min="8198" max="8200" width="7.88671875" style="3" customWidth="1"/>
    <col min="8201" max="8201" width="4.44140625" style="3" customWidth="1"/>
    <col min="8202" max="8202" width="4" style="3" customWidth="1"/>
    <col min="8203" max="8204" width="7.33203125" style="3" customWidth="1"/>
    <col min="8205" max="8205" width="1.5546875" style="3" customWidth="1"/>
    <col min="8206" max="8206" width="7.88671875" style="3" customWidth="1"/>
    <col min="8207" max="8207" width="8.33203125" style="3" customWidth="1"/>
    <col min="8208" max="8448" width="9.109375" style="3"/>
    <col min="8449" max="8449" width="11.109375" style="3" customWidth="1"/>
    <col min="8450" max="8451" width="0.88671875" style="3" customWidth="1"/>
    <col min="8452" max="8452" width="12.5546875" style="3" customWidth="1"/>
    <col min="8453" max="8453" width="10.109375" style="3" customWidth="1"/>
    <col min="8454" max="8456" width="7.88671875" style="3" customWidth="1"/>
    <col min="8457" max="8457" width="4.44140625" style="3" customWidth="1"/>
    <col min="8458" max="8458" width="4" style="3" customWidth="1"/>
    <col min="8459" max="8460" width="7.33203125" style="3" customWidth="1"/>
    <col min="8461" max="8461" width="1.5546875" style="3" customWidth="1"/>
    <col min="8462" max="8462" width="7.88671875" style="3" customWidth="1"/>
    <col min="8463" max="8463" width="8.33203125" style="3" customWidth="1"/>
    <col min="8464" max="8704" width="9.109375" style="3"/>
    <col min="8705" max="8705" width="11.109375" style="3" customWidth="1"/>
    <col min="8706" max="8707" width="0.88671875" style="3" customWidth="1"/>
    <col min="8708" max="8708" width="12.5546875" style="3" customWidth="1"/>
    <col min="8709" max="8709" width="10.109375" style="3" customWidth="1"/>
    <col min="8710" max="8712" width="7.88671875" style="3" customWidth="1"/>
    <col min="8713" max="8713" width="4.44140625" style="3" customWidth="1"/>
    <col min="8714" max="8714" width="4" style="3" customWidth="1"/>
    <col min="8715" max="8716" width="7.33203125" style="3" customWidth="1"/>
    <col min="8717" max="8717" width="1.5546875" style="3" customWidth="1"/>
    <col min="8718" max="8718" width="7.88671875" style="3" customWidth="1"/>
    <col min="8719" max="8719" width="8.33203125" style="3" customWidth="1"/>
    <col min="8720" max="8960" width="9.109375" style="3"/>
    <col min="8961" max="8961" width="11.109375" style="3" customWidth="1"/>
    <col min="8962" max="8963" width="0.88671875" style="3" customWidth="1"/>
    <col min="8964" max="8964" width="12.5546875" style="3" customWidth="1"/>
    <col min="8965" max="8965" width="10.109375" style="3" customWidth="1"/>
    <col min="8966" max="8968" width="7.88671875" style="3" customWidth="1"/>
    <col min="8969" max="8969" width="4.44140625" style="3" customWidth="1"/>
    <col min="8970" max="8970" width="4" style="3" customWidth="1"/>
    <col min="8971" max="8972" width="7.33203125" style="3" customWidth="1"/>
    <col min="8973" max="8973" width="1.5546875" style="3" customWidth="1"/>
    <col min="8974" max="8974" width="7.88671875" style="3" customWidth="1"/>
    <col min="8975" max="8975" width="8.33203125" style="3" customWidth="1"/>
    <col min="8976" max="9216" width="9.109375" style="3"/>
    <col min="9217" max="9217" width="11.109375" style="3" customWidth="1"/>
    <col min="9218" max="9219" width="0.88671875" style="3" customWidth="1"/>
    <col min="9220" max="9220" width="12.5546875" style="3" customWidth="1"/>
    <col min="9221" max="9221" width="10.109375" style="3" customWidth="1"/>
    <col min="9222" max="9224" width="7.88671875" style="3" customWidth="1"/>
    <col min="9225" max="9225" width="4.44140625" style="3" customWidth="1"/>
    <col min="9226" max="9226" width="4" style="3" customWidth="1"/>
    <col min="9227" max="9228" width="7.33203125" style="3" customWidth="1"/>
    <col min="9229" max="9229" width="1.5546875" style="3" customWidth="1"/>
    <col min="9230" max="9230" width="7.88671875" style="3" customWidth="1"/>
    <col min="9231" max="9231" width="8.33203125" style="3" customWidth="1"/>
    <col min="9232" max="9472" width="9.109375" style="3"/>
    <col min="9473" max="9473" width="11.109375" style="3" customWidth="1"/>
    <col min="9474" max="9475" width="0.88671875" style="3" customWidth="1"/>
    <col min="9476" max="9476" width="12.5546875" style="3" customWidth="1"/>
    <col min="9477" max="9477" width="10.109375" style="3" customWidth="1"/>
    <col min="9478" max="9480" width="7.88671875" style="3" customWidth="1"/>
    <col min="9481" max="9481" width="4.44140625" style="3" customWidth="1"/>
    <col min="9482" max="9482" width="4" style="3" customWidth="1"/>
    <col min="9483" max="9484" width="7.33203125" style="3" customWidth="1"/>
    <col min="9485" max="9485" width="1.5546875" style="3" customWidth="1"/>
    <col min="9486" max="9486" width="7.88671875" style="3" customWidth="1"/>
    <col min="9487" max="9487" width="8.33203125" style="3" customWidth="1"/>
    <col min="9488" max="9728" width="9.109375" style="3"/>
    <col min="9729" max="9729" width="11.109375" style="3" customWidth="1"/>
    <col min="9730" max="9731" width="0.88671875" style="3" customWidth="1"/>
    <col min="9732" max="9732" width="12.5546875" style="3" customWidth="1"/>
    <col min="9733" max="9733" width="10.109375" style="3" customWidth="1"/>
    <col min="9734" max="9736" width="7.88671875" style="3" customWidth="1"/>
    <col min="9737" max="9737" width="4.44140625" style="3" customWidth="1"/>
    <col min="9738" max="9738" width="4" style="3" customWidth="1"/>
    <col min="9739" max="9740" width="7.33203125" style="3" customWidth="1"/>
    <col min="9741" max="9741" width="1.5546875" style="3" customWidth="1"/>
    <col min="9742" max="9742" width="7.88671875" style="3" customWidth="1"/>
    <col min="9743" max="9743" width="8.33203125" style="3" customWidth="1"/>
    <col min="9744" max="9984" width="9.109375" style="3"/>
    <col min="9985" max="9985" width="11.109375" style="3" customWidth="1"/>
    <col min="9986" max="9987" width="0.88671875" style="3" customWidth="1"/>
    <col min="9988" max="9988" width="12.5546875" style="3" customWidth="1"/>
    <col min="9989" max="9989" width="10.109375" style="3" customWidth="1"/>
    <col min="9990" max="9992" width="7.88671875" style="3" customWidth="1"/>
    <col min="9993" max="9993" width="4.44140625" style="3" customWidth="1"/>
    <col min="9994" max="9994" width="4" style="3" customWidth="1"/>
    <col min="9995" max="9996" width="7.33203125" style="3" customWidth="1"/>
    <col min="9997" max="9997" width="1.5546875" style="3" customWidth="1"/>
    <col min="9998" max="9998" width="7.88671875" style="3" customWidth="1"/>
    <col min="9999" max="9999" width="8.33203125" style="3" customWidth="1"/>
    <col min="10000" max="10240" width="9.109375" style="3"/>
    <col min="10241" max="10241" width="11.109375" style="3" customWidth="1"/>
    <col min="10242" max="10243" width="0.88671875" style="3" customWidth="1"/>
    <col min="10244" max="10244" width="12.5546875" style="3" customWidth="1"/>
    <col min="10245" max="10245" width="10.109375" style="3" customWidth="1"/>
    <col min="10246" max="10248" width="7.88671875" style="3" customWidth="1"/>
    <col min="10249" max="10249" width="4.44140625" style="3" customWidth="1"/>
    <col min="10250" max="10250" width="4" style="3" customWidth="1"/>
    <col min="10251" max="10252" width="7.33203125" style="3" customWidth="1"/>
    <col min="10253" max="10253" width="1.5546875" style="3" customWidth="1"/>
    <col min="10254" max="10254" width="7.88671875" style="3" customWidth="1"/>
    <col min="10255" max="10255" width="8.33203125" style="3" customWidth="1"/>
    <col min="10256" max="10496" width="9.109375" style="3"/>
    <col min="10497" max="10497" width="11.109375" style="3" customWidth="1"/>
    <col min="10498" max="10499" width="0.88671875" style="3" customWidth="1"/>
    <col min="10500" max="10500" width="12.5546875" style="3" customWidth="1"/>
    <col min="10501" max="10501" width="10.109375" style="3" customWidth="1"/>
    <col min="10502" max="10504" width="7.88671875" style="3" customWidth="1"/>
    <col min="10505" max="10505" width="4.44140625" style="3" customWidth="1"/>
    <col min="10506" max="10506" width="4" style="3" customWidth="1"/>
    <col min="10507" max="10508" width="7.33203125" style="3" customWidth="1"/>
    <col min="10509" max="10509" width="1.5546875" style="3" customWidth="1"/>
    <col min="10510" max="10510" width="7.88671875" style="3" customWidth="1"/>
    <col min="10511" max="10511" width="8.33203125" style="3" customWidth="1"/>
    <col min="10512" max="10752" width="9.109375" style="3"/>
    <col min="10753" max="10753" width="11.109375" style="3" customWidth="1"/>
    <col min="10754" max="10755" width="0.88671875" style="3" customWidth="1"/>
    <col min="10756" max="10756" width="12.5546875" style="3" customWidth="1"/>
    <col min="10757" max="10757" width="10.109375" style="3" customWidth="1"/>
    <col min="10758" max="10760" width="7.88671875" style="3" customWidth="1"/>
    <col min="10761" max="10761" width="4.44140625" style="3" customWidth="1"/>
    <col min="10762" max="10762" width="4" style="3" customWidth="1"/>
    <col min="10763" max="10764" width="7.33203125" style="3" customWidth="1"/>
    <col min="10765" max="10765" width="1.5546875" style="3" customWidth="1"/>
    <col min="10766" max="10766" width="7.88671875" style="3" customWidth="1"/>
    <col min="10767" max="10767" width="8.33203125" style="3" customWidth="1"/>
    <col min="10768" max="11008" width="9.109375" style="3"/>
    <col min="11009" max="11009" width="11.109375" style="3" customWidth="1"/>
    <col min="11010" max="11011" width="0.88671875" style="3" customWidth="1"/>
    <col min="11012" max="11012" width="12.5546875" style="3" customWidth="1"/>
    <col min="11013" max="11013" width="10.109375" style="3" customWidth="1"/>
    <col min="11014" max="11016" width="7.88671875" style="3" customWidth="1"/>
    <col min="11017" max="11017" width="4.44140625" style="3" customWidth="1"/>
    <col min="11018" max="11018" width="4" style="3" customWidth="1"/>
    <col min="11019" max="11020" width="7.33203125" style="3" customWidth="1"/>
    <col min="11021" max="11021" width="1.5546875" style="3" customWidth="1"/>
    <col min="11022" max="11022" width="7.88671875" style="3" customWidth="1"/>
    <col min="11023" max="11023" width="8.33203125" style="3" customWidth="1"/>
    <col min="11024" max="11264" width="9.109375" style="3"/>
    <col min="11265" max="11265" width="11.109375" style="3" customWidth="1"/>
    <col min="11266" max="11267" width="0.88671875" style="3" customWidth="1"/>
    <col min="11268" max="11268" width="12.5546875" style="3" customWidth="1"/>
    <col min="11269" max="11269" width="10.109375" style="3" customWidth="1"/>
    <col min="11270" max="11272" width="7.88671875" style="3" customWidth="1"/>
    <col min="11273" max="11273" width="4.44140625" style="3" customWidth="1"/>
    <col min="11274" max="11274" width="4" style="3" customWidth="1"/>
    <col min="11275" max="11276" width="7.33203125" style="3" customWidth="1"/>
    <col min="11277" max="11277" width="1.5546875" style="3" customWidth="1"/>
    <col min="11278" max="11278" width="7.88671875" style="3" customWidth="1"/>
    <col min="11279" max="11279" width="8.33203125" style="3" customWidth="1"/>
    <col min="11280" max="11520" width="9.109375" style="3"/>
    <col min="11521" max="11521" width="11.109375" style="3" customWidth="1"/>
    <col min="11522" max="11523" width="0.88671875" style="3" customWidth="1"/>
    <col min="11524" max="11524" width="12.5546875" style="3" customWidth="1"/>
    <col min="11525" max="11525" width="10.109375" style="3" customWidth="1"/>
    <col min="11526" max="11528" width="7.88671875" style="3" customWidth="1"/>
    <col min="11529" max="11529" width="4.44140625" style="3" customWidth="1"/>
    <col min="11530" max="11530" width="4" style="3" customWidth="1"/>
    <col min="11531" max="11532" width="7.33203125" style="3" customWidth="1"/>
    <col min="11533" max="11533" width="1.5546875" style="3" customWidth="1"/>
    <col min="11534" max="11534" width="7.88671875" style="3" customWidth="1"/>
    <col min="11535" max="11535" width="8.33203125" style="3" customWidth="1"/>
    <col min="11536" max="11776" width="9.109375" style="3"/>
    <col min="11777" max="11777" width="11.109375" style="3" customWidth="1"/>
    <col min="11778" max="11779" width="0.88671875" style="3" customWidth="1"/>
    <col min="11780" max="11780" width="12.5546875" style="3" customWidth="1"/>
    <col min="11781" max="11781" width="10.109375" style="3" customWidth="1"/>
    <col min="11782" max="11784" width="7.88671875" style="3" customWidth="1"/>
    <col min="11785" max="11785" width="4.44140625" style="3" customWidth="1"/>
    <col min="11786" max="11786" width="4" style="3" customWidth="1"/>
    <col min="11787" max="11788" width="7.33203125" style="3" customWidth="1"/>
    <col min="11789" max="11789" width="1.5546875" style="3" customWidth="1"/>
    <col min="11790" max="11790" width="7.88671875" style="3" customWidth="1"/>
    <col min="11791" max="11791" width="8.33203125" style="3" customWidth="1"/>
    <col min="11792" max="12032" width="9.109375" style="3"/>
    <col min="12033" max="12033" width="11.109375" style="3" customWidth="1"/>
    <col min="12034" max="12035" width="0.88671875" style="3" customWidth="1"/>
    <col min="12036" max="12036" width="12.5546875" style="3" customWidth="1"/>
    <col min="12037" max="12037" width="10.109375" style="3" customWidth="1"/>
    <col min="12038" max="12040" width="7.88671875" style="3" customWidth="1"/>
    <col min="12041" max="12041" width="4.44140625" style="3" customWidth="1"/>
    <col min="12042" max="12042" width="4" style="3" customWidth="1"/>
    <col min="12043" max="12044" width="7.33203125" style="3" customWidth="1"/>
    <col min="12045" max="12045" width="1.5546875" style="3" customWidth="1"/>
    <col min="12046" max="12046" width="7.88671875" style="3" customWidth="1"/>
    <col min="12047" max="12047" width="8.33203125" style="3" customWidth="1"/>
    <col min="12048" max="12288" width="9.109375" style="3"/>
    <col min="12289" max="12289" width="11.109375" style="3" customWidth="1"/>
    <col min="12290" max="12291" width="0.88671875" style="3" customWidth="1"/>
    <col min="12292" max="12292" width="12.5546875" style="3" customWidth="1"/>
    <col min="12293" max="12293" width="10.109375" style="3" customWidth="1"/>
    <col min="12294" max="12296" width="7.88671875" style="3" customWidth="1"/>
    <col min="12297" max="12297" width="4.44140625" style="3" customWidth="1"/>
    <col min="12298" max="12298" width="4" style="3" customWidth="1"/>
    <col min="12299" max="12300" width="7.33203125" style="3" customWidth="1"/>
    <col min="12301" max="12301" width="1.5546875" style="3" customWidth="1"/>
    <col min="12302" max="12302" width="7.88671875" style="3" customWidth="1"/>
    <col min="12303" max="12303" width="8.33203125" style="3" customWidth="1"/>
    <col min="12304" max="12544" width="9.109375" style="3"/>
    <col min="12545" max="12545" width="11.109375" style="3" customWidth="1"/>
    <col min="12546" max="12547" width="0.88671875" style="3" customWidth="1"/>
    <col min="12548" max="12548" width="12.5546875" style="3" customWidth="1"/>
    <col min="12549" max="12549" width="10.109375" style="3" customWidth="1"/>
    <col min="12550" max="12552" width="7.88671875" style="3" customWidth="1"/>
    <col min="12553" max="12553" width="4.44140625" style="3" customWidth="1"/>
    <col min="12554" max="12554" width="4" style="3" customWidth="1"/>
    <col min="12555" max="12556" width="7.33203125" style="3" customWidth="1"/>
    <col min="12557" max="12557" width="1.5546875" style="3" customWidth="1"/>
    <col min="12558" max="12558" width="7.88671875" style="3" customWidth="1"/>
    <col min="12559" max="12559" width="8.33203125" style="3" customWidth="1"/>
    <col min="12560" max="12800" width="9.109375" style="3"/>
    <col min="12801" max="12801" width="11.109375" style="3" customWidth="1"/>
    <col min="12802" max="12803" width="0.88671875" style="3" customWidth="1"/>
    <col min="12804" max="12804" width="12.5546875" style="3" customWidth="1"/>
    <col min="12805" max="12805" width="10.109375" style="3" customWidth="1"/>
    <col min="12806" max="12808" width="7.88671875" style="3" customWidth="1"/>
    <col min="12809" max="12809" width="4.44140625" style="3" customWidth="1"/>
    <col min="12810" max="12810" width="4" style="3" customWidth="1"/>
    <col min="12811" max="12812" width="7.33203125" style="3" customWidth="1"/>
    <col min="12813" max="12813" width="1.5546875" style="3" customWidth="1"/>
    <col min="12814" max="12814" width="7.88671875" style="3" customWidth="1"/>
    <col min="12815" max="12815" width="8.33203125" style="3" customWidth="1"/>
    <col min="12816" max="13056" width="9.109375" style="3"/>
    <col min="13057" max="13057" width="11.109375" style="3" customWidth="1"/>
    <col min="13058" max="13059" width="0.88671875" style="3" customWidth="1"/>
    <col min="13060" max="13060" width="12.5546875" style="3" customWidth="1"/>
    <col min="13061" max="13061" width="10.109375" style="3" customWidth="1"/>
    <col min="13062" max="13064" width="7.88671875" style="3" customWidth="1"/>
    <col min="13065" max="13065" width="4.44140625" style="3" customWidth="1"/>
    <col min="13066" max="13066" width="4" style="3" customWidth="1"/>
    <col min="13067" max="13068" width="7.33203125" style="3" customWidth="1"/>
    <col min="13069" max="13069" width="1.5546875" style="3" customWidth="1"/>
    <col min="13070" max="13070" width="7.88671875" style="3" customWidth="1"/>
    <col min="13071" max="13071" width="8.33203125" style="3" customWidth="1"/>
    <col min="13072" max="13312" width="9.109375" style="3"/>
    <col min="13313" max="13313" width="11.109375" style="3" customWidth="1"/>
    <col min="13314" max="13315" width="0.88671875" style="3" customWidth="1"/>
    <col min="13316" max="13316" width="12.5546875" style="3" customWidth="1"/>
    <col min="13317" max="13317" width="10.109375" style="3" customWidth="1"/>
    <col min="13318" max="13320" width="7.88671875" style="3" customWidth="1"/>
    <col min="13321" max="13321" width="4.44140625" style="3" customWidth="1"/>
    <col min="13322" max="13322" width="4" style="3" customWidth="1"/>
    <col min="13323" max="13324" width="7.33203125" style="3" customWidth="1"/>
    <col min="13325" max="13325" width="1.5546875" style="3" customWidth="1"/>
    <col min="13326" max="13326" width="7.88671875" style="3" customWidth="1"/>
    <col min="13327" max="13327" width="8.33203125" style="3" customWidth="1"/>
    <col min="13328" max="13568" width="9.109375" style="3"/>
    <col min="13569" max="13569" width="11.109375" style="3" customWidth="1"/>
    <col min="13570" max="13571" width="0.88671875" style="3" customWidth="1"/>
    <col min="13572" max="13572" width="12.5546875" style="3" customWidth="1"/>
    <col min="13573" max="13573" width="10.109375" style="3" customWidth="1"/>
    <col min="13574" max="13576" width="7.88671875" style="3" customWidth="1"/>
    <col min="13577" max="13577" width="4.44140625" style="3" customWidth="1"/>
    <col min="13578" max="13578" width="4" style="3" customWidth="1"/>
    <col min="13579" max="13580" width="7.33203125" style="3" customWidth="1"/>
    <col min="13581" max="13581" width="1.5546875" style="3" customWidth="1"/>
    <col min="13582" max="13582" width="7.88671875" style="3" customWidth="1"/>
    <col min="13583" max="13583" width="8.33203125" style="3" customWidth="1"/>
    <col min="13584" max="13824" width="9.109375" style="3"/>
    <col min="13825" max="13825" width="11.109375" style="3" customWidth="1"/>
    <col min="13826" max="13827" width="0.88671875" style="3" customWidth="1"/>
    <col min="13828" max="13828" width="12.5546875" style="3" customWidth="1"/>
    <col min="13829" max="13829" width="10.109375" style="3" customWidth="1"/>
    <col min="13830" max="13832" width="7.88671875" style="3" customWidth="1"/>
    <col min="13833" max="13833" width="4.44140625" style="3" customWidth="1"/>
    <col min="13834" max="13834" width="4" style="3" customWidth="1"/>
    <col min="13835" max="13836" width="7.33203125" style="3" customWidth="1"/>
    <col min="13837" max="13837" width="1.5546875" style="3" customWidth="1"/>
    <col min="13838" max="13838" width="7.88671875" style="3" customWidth="1"/>
    <col min="13839" max="13839" width="8.33203125" style="3" customWidth="1"/>
    <col min="13840" max="14080" width="9.109375" style="3"/>
    <col min="14081" max="14081" width="11.109375" style="3" customWidth="1"/>
    <col min="14082" max="14083" width="0.88671875" style="3" customWidth="1"/>
    <col min="14084" max="14084" width="12.5546875" style="3" customWidth="1"/>
    <col min="14085" max="14085" width="10.109375" style="3" customWidth="1"/>
    <col min="14086" max="14088" width="7.88671875" style="3" customWidth="1"/>
    <col min="14089" max="14089" width="4.44140625" style="3" customWidth="1"/>
    <col min="14090" max="14090" width="4" style="3" customWidth="1"/>
    <col min="14091" max="14092" width="7.33203125" style="3" customWidth="1"/>
    <col min="14093" max="14093" width="1.5546875" style="3" customWidth="1"/>
    <col min="14094" max="14094" width="7.88671875" style="3" customWidth="1"/>
    <col min="14095" max="14095" width="8.33203125" style="3" customWidth="1"/>
    <col min="14096" max="14336" width="9.109375" style="3"/>
    <col min="14337" max="14337" width="11.109375" style="3" customWidth="1"/>
    <col min="14338" max="14339" width="0.88671875" style="3" customWidth="1"/>
    <col min="14340" max="14340" width="12.5546875" style="3" customWidth="1"/>
    <col min="14341" max="14341" width="10.109375" style="3" customWidth="1"/>
    <col min="14342" max="14344" width="7.88671875" style="3" customWidth="1"/>
    <col min="14345" max="14345" width="4.44140625" style="3" customWidth="1"/>
    <col min="14346" max="14346" width="4" style="3" customWidth="1"/>
    <col min="14347" max="14348" width="7.33203125" style="3" customWidth="1"/>
    <col min="14349" max="14349" width="1.5546875" style="3" customWidth="1"/>
    <col min="14350" max="14350" width="7.88671875" style="3" customWidth="1"/>
    <col min="14351" max="14351" width="8.33203125" style="3" customWidth="1"/>
    <col min="14352" max="14592" width="9.109375" style="3"/>
    <col min="14593" max="14593" width="11.109375" style="3" customWidth="1"/>
    <col min="14594" max="14595" width="0.88671875" style="3" customWidth="1"/>
    <col min="14596" max="14596" width="12.5546875" style="3" customWidth="1"/>
    <col min="14597" max="14597" width="10.109375" style="3" customWidth="1"/>
    <col min="14598" max="14600" width="7.88671875" style="3" customWidth="1"/>
    <col min="14601" max="14601" width="4.44140625" style="3" customWidth="1"/>
    <col min="14602" max="14602" width="4" style="3" customWidth="1"/>
    <col min="14603" max="14604" width="7.33203125" style="3" customWidth="1"/>
    <col min="14605" max="14605" width="1.5546875" style="3" customWidth="1"/>
    <col min="14606" max="14606" width="7.88671875" style="3" customWidth="1"/>
    <col min="14607" max="14607" width="8.33203125" style="3" customWidth="1"/>
    <col min="14608" max="14848" width="9.109375" style="3"/>
    <col min="14849" max="14849" width="11.109375" style="3" customWidth="1"/>
    <col min="14850" max="14851" width="0.88671875" style="3" customWidth="1"/>
    <col min="14852" max="14852" width="12.5546875" style="3" customWidth="1"/>
    <col min="14853" max="14853" width="10.109375" style="3" customWidth="1"/>
    <col min="14854" max="14856" width="7.88671875" style="3" customWidth="1"/>
    <col min="14857" max="14857" width="4.44140625" style="3" customWidth="1"/>
    <col min="14858" max="14858" width="4" style="3" customWidth="1"/>
    <col min="14859" max="14860" width="7.33203125" style="3" customWidth="1"/>
    <col min="14861" max="14861" width="1.5546875" style="3" customWidth="1"/>
    <col min="14862" max="14862" width="7.88671875" style="3" customWidth="1"/>
    <col min="14863" max="14863" width="8.33203125" style="3" customWidth="1"/>
    <col min="14864" max="15104" width="9.109375" style="3"/>
    <col min="15105" max="15105" width="11.109375" style="3" customWidth="1"/>
    <col min="15106" max="15107" width="0.88671875" style="3" customWidth="1"/>
    <col min="15108" max="15108" width="12.5546875" style="3" customWidth="1"/>
    <col min="15109" max="15109" width="10.109375" style="3" customWidth="1"/>
    <col min="15110" max="15112" width="7.88671875" style="3" customWidth="1"/>
    <col min="15113" max="15113" width="4.44140625" style="3" customWidth="1"/>
    <col min="15114" max="15114" width="4" style="3" customWidth="1"/>
    <col min="15115" max="15116" width="7.33203125" style="3" customWidth="1"/>
    <col min="15117" max="15117" width="1.5546875" style="3" customWidth="1"/>
    <col min="15118" max="15118" width="7.88671875" style="3" customWidth="1"/>
    <col min="15119" max="15119" width="8.33203125" style="3" customWidth="1"/>
    <col min="15120" max="15360" width="9.109375" style="3"/>
    <col min="15361" max="15361" width="11.109375" style="3" customWidth="1"/>
    <col min="15362" max="15363" width="0.88671875" style="3" customWidth="1"/>
    <col min="15364" max="15364" width="12.5546875" style="3" customWidth="1"/>
    <col min="15365" max="15365" width="10.109375" style="3" customWidth="1"/>
    <col min="15366" max="15368" width="7.88671875" style="3" customWidth="1"/>
    <col min="15369" max="15369" width="4.44140625" style="3" customWidth="1"/>
    <col min="15370" max="15370" width="4" style="3" customWidth="1"/>
    <col min="15371" max="15372" width="7.33203125" style="3" customWidth="1"/>
    <col min="15373" max="15373" width="1.5546875" style="3" customWidth="1"/>
    <col min="15374" max="15374" width="7.88671875" style="3" customWidth="1"/>
    <col min="15375" max="15375" width="8.33203125" style="3" customWidth="1"/>
    <col min="15376" max="15616" width="9.109375" style="3"/>
    <col min="15617" max="15617" width="11.109375" style="3" customWidth="1"/>
    <col min="15618" max="15619" width="0.88671875" style="3" customWidth="1"/>
    <col min="15620" max="15620" width="12.5546875" style="3" customWidth="1"/>
    <col min="15621" max="15621" width="10.109375" style="3" customWidth="1"/>
    <col min="15622" max="15624" width="7.88671875" style="3" customWidth="1"/>
    <col min="15625" max="15625" width="4.44140625" style="3" customWidth="1"/>
    <col min="15626" max="15626" width="4" style="3" customWidth="1"/>
    <col min="15627" max="15628" width="7.33203125" style="3" customWidth="1"/>
    <col min="15629" max="15629" width="1.5546875" style="3" customWidth="1"/>
    <col min="15630" max="15630" width="7.88671875" style="3" customWidth="1"/>
    <col min="15631" max="15631" width="8.33203125" style="3" customWidth="1"/>
    <col min="15632" max="15872" width="9.109375" style="3"/>
    <col min="15873" max="15873" width="11.109375" style="3" customWidth="1"/>
    <col min="15874" max="15875" width="0.88671875" style="3" customWidth="1"/>
    <col min="15876" max="15876" width="12.5546875" style="3" customWidth="1"/>
    <col min="15877" max="15877" width="10.109375" style="3" customWidth="1"/>
    <col min="15878" max="15880" width="7.88671875" style="3" customWidth="1"/>
    <col min="15881" max="15881" width="4.44140625" style="3" customWidth="1"/>
    <col min="15882" max="15882" width="4" style="3" customWidth="1"/>
    <col min="15883" max="15884" width="7.33203125" style="3" customWidth="1"/>
    <col min="15885" max="15885" width="1.5546875" style="3" customWidth="1"/>
    <col min="15886" max="15886" width="7.88671875" style="3" customWidth="1"/>
    <col min="15887" max="15887" width="8.33203125" style="3" customWidth="1"/>
    <col min="15888" max="16128" width="9.109375" style="3"/>
    <col min="16129" max="16129" width="11.109375" style="3" customWidth="1"/>
    <col min="16130" max="16131" width="0.88671875" style="3" customWidth="1"/>
    <col min="16132" max="16132" width="12.5546875" style="3" customWidth="1"/>
    <col min="16133" max="16133" width="10.109375" style="3" customWidth="1"/>
    <col min="16134" max="16136" width="7.88671875" style="3" customWidth="1"/>
    <col min="16137" max="16137" width="4.44140625" style="3" customWidth="1"/>
    <col min="16138" max="16138" width="4" style="3" customWidth="1"/>
    <col min="16139" max="16140" width="7.33203125" style="3" customWidth="1"/>
    <col min="16141" max="16141" width="1.5546875" style="3" customWidth="1"/>
    <col min="16142" max="16142" width="7.88671875" style="3" customWidth="1"/>
    <col min="16143" max="16143" width="8.33203125" style="3" customWidth="1"/>
    <col min="16144" max="16384" width="9.109375" style="3"/>
  </cols>
  <sheetData>
    <row r="1" spans="1:15" ht="14.25" customHeight="1" x14ac:dyDescent="0.3">
      <c r="A1" s="80" t="s">
        <v>266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ht="5.85" customHeight="1" x14ac:dyDescent="0.3"/>
    <row r="3" spans="1:15" ht="63.15" customHeight="1" x14ac:dyDescent="0.3">
      <c r="A3" s="4" t="s">
        <v>267</v>
      </c>
      <c r="C3" s="82" t="s">
        <v>1073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</row>
    <row r="4" spans="1:15" ht="17.25" customHeight="1" x14ac:dyDescent="0.3"/>
    <row r="5" spans="1:15" ht="11.4" customHeight="1" x14ac:dyDescent="0.3">
      <c r="A5" s="83" t="s">
        <v>269</v>
      </c>
      <c r="B5" s="84"/>
      <c r="C5" s="85"/>
      <c r="D5" s="5" t="s">
        <v>270</v>
      </c>
      <c r="E5" s="6" t="s">
        <v>271</v>
      </c>
      <c r="F5" s="5" t="s">
        <v>272</v>
      </c>
      <c r="G5" s="6" t="s">
        <v>273</v>
      </c>
      <c r="H5" s="5" t="s">
        <v>274</v>
      </c>
      <c r="I5" s="120" t="s">
        <v>275</v>
      </c>
      <c r="J5" s="93"/>
      <c r="K5" s="5" t="s">
        <v>276</v>
      </c>
      <c r="L5" s="6" t="s">
        <v>277</v>
      </c>
      <c r="M5" s="83" t="s">
        <v>278</v>
      </c>
      <c r="N5" s="85"/>
      <c r="O5" s="7" t="s">
        <v>279</v>
      </c>
    </row>
    <row r="6" spans="1:15" ht="11.4" customHeight="1" x14ac:dyDescent="0.3">
      <c r="A6" s="88" t="s">
        <v>1074</v>
      </c>
      <c r="B6" s="84"/>
      <c r="C6" s="85"/>
      <c r="D6" s="14" t="s">
        <v>845</v>
      </c>
      <c r="E6" s="9" t="s">
        <v>1075</v>
      </c>
      <c r="F6" s="15" t="s">
        <v>1076</v>
      </c>
      <c r="G6" s="11" t="s">
        <v>475</v>
      </c>
      <c r="H6" s="15" t="s">
        <v>359</v>
      </c>
      <c r="I6" s="141" t="s">
        <v>7</v>
      </c>
      <c r="J6" s="85"/>
      <c r="K6" s="15" t="s">
        <v>864</v>
      </c>
      <c r="L6" s="9" t="s">
        <v>287</v>
      </c>
      <c r="M6" s="88" t="s">
        <v>302</v>
      </c>
      <c r="N6" s="85"/>
      <c r="O6" s="9" t="s">
        <v>289</v>
      </c>
    </row>
    <row r="7" spans="1:15" ht="11.4" customHeight="1" x14ac:dyDescent="0.3">
      <c r="A7" s="101" t="s">
        <v>1074</v>
      </c>
      <c r="B7" s="84"/>
      <c r="C7" s="85"/>
      <c r="D7" s="9" t="s">
        <v>875</v>
      </c>
      <c r="E7" s="14" t="s">
        <v>1077</v>
      </c>
      <c r="F7" s="11" t="s">
        <v>837</v>
      </c>
      <c r="G7" s="15" t="s">
        <v>548</v>
      </c>
      <c r="H7" s="11" t="s">
        <v>1078</v>
      </c>
      <c r="I7" s="141" t="s">
        <v>7</v>
      </c>
      <c r="J7" s="85"/>
      <c r="K7" s="11" t="s">
        <v>1079</v>
      </c>
      <c r="L7" s="14" t="s">
        <v>287</v>
      </c>
      <c r="M7" s="88" t="s">
        <v>302</v>
      </c>
      <c r="N7" s="85"/>
      <c r="O7" s="16" t="s">
        <v>289</v>
      </c>
    </row>
    <row r="8" spans="1:15" ht="11.4" customHeight="1" x14ac:dyDescent="0.3">
      <c r="A8" s="88" t="s">
        <v>1074</v>
      </c>
      <c r="B8" s="84"/>
      <c r="C8" s="85"/>
      <c r="D8" s="14" t="s">
        <v>1080</v>
      </c>
      <c r="E8" s="9" t="s">
        <v>1081</v>
      </c>
      <c r="F8" s="15" t="s">
        <v>630</v>
      </c>
      <c r="G8" s="11" t="s">
        <v>398</v>
      </c>
      <c r="H8" s="15" t="s">
        <v>1082</v>
      </c>
      <c r="I8" s="141" t="s">
        <v>7</v>
      </c>
      <c r="J8" s="85"/>
      <c r="K8" s="15" t="s">
        <v>739</v>
      </c>
      <c r="L8" s="9" t="s">
        <v>287</v>
      </c>
      <c r="M8" s="88" t="s">
        <v>302</v>
      </c>
      <c r="N8" s="85"/>
      <c r="O8" s="9" t="s">
        <v>309</v>
      </c>
    </row>
    <row r="9" spans="1:15" ht="11.4" customHeight="1" x14ac:dyDescent="0.3">
      <c r="A9" s="101" t="s">
        <v>1074</v>
      </c>
      <c r="B9" s="84"/>
      <c r="C9" s="85"/>
      <c r="D9" s="9" t="s">
        <v>778</v>
      </c>
      <c r="E9" s="14" t="s">
        <v>1083</v>
      </c>
      <c r="F9" s="11" t="s">
        <v>1084</v>
      </c>
      <c r="G9" s="15" t="s">
        <v>906</v>
      </c>
      <c r="H9" s="11" t="s">
        <v>496</v>
      </c>
      <c r="I9" s="141" t="s">
        <v>7</v>
      </c>
      <c r="J9" s="85"/>
      <c r="K9" s="11" t="s">
        <v>1085</v>
      </c>
      <c r="L9" s="14" t="s">
        <v>287</v>
      </c>
      <c r="M9" s="88" t="s">
        <v>302</v>
      </c>
      <c r="N9" s="85"/>
      <c r="O9" s="16" t="s">
        <v>309</v>
      </c>
    </row>
    <row r="10" spans="1:15" ht="11.4" customHeight="1" x14ac:dyDescent="0.3">
      <c r="A10" s="88" t="s">
        <v>1074</v>
      </c>
      <c r="B10" s="84"/>
      <c r="C10" s="85"/>
      <c r="D10" s="14" t="s">
        <v>555</v>
      </c>
      <c r="E10" s="9" t="s">
        <v>1086</v>
      </c>
      <c r="F10" s="15" t="s">
        <v>1087</v>
      </c>
      <c r="G10" s="11" t="s">
        <v>1088</v>
      </c>
      <c r="H10" s="15" t="s">
        <v>572</v>
      </c>
      <c r="I10" s="141" t="s">
        <v>7</v>
      </c>
      <c r="J10" s="85"/>
      <c r="K10" s="15" t="s">
        <v>765</v>
      </c>
      <c r="L10" s="9" t="s">
        <v>287</v>
      </c>
      <c r="M10" s="88" t="s">
        <v>302</v>
      </c>
      <c r="N10" s="85"/>
      <c r="O10" s="9" t="s">
        <v>289</v>
      </c>
    </row>
    <row r="11" spans="1:15" ht="11.4" customHeight="1" x14ac:dyDescent="0.3">
      <c r="A11" s="111" t="s">
        <v>1074</v>
      </c>
      <c r="B11" s="112"/>
      <c r="C11" s="106"/>
      <c r="D11" s="9" t="s">
        <v>800</v>
      </c>
      <c r="E11" s="8" t="s">
        <v>1089</v>
      </c>
      <c r="F11" s="11" t="s">
        <v>1076</v>
      </c>
      <c r="G11" s="10" t="s">
        <v>1090</v>
      </c>
      <c r="H11" s="11" t="s">
        <v>803</v>
      </c>
      <c r="I11" s="147" t="s">
        <v>7</v>
      </c>
      <c r="J11" s="106"/>
      <c r="K11" s="11" t="s">
        <v>286</v>
      </c>
      <c r="L11" s="8" t="s">
        <v>287</v>
      </c>
      <c r="M11" s="88" t="s">
        <v>302</v>
      </c>
      <c r="N11" s="85"/>
      <c r="O11" s="52" t="s">
        <v>289</v>
      </c>
    </row>
    <row r="12" spans="1:15" ht="2.85" customHeight="1" x14ac:dyDescent="0.3"/>
    <row r="13" spans="1:15" ht="11.4" customHeight="1" x14ac:dyDescent="0.3">
      <c r="A13" s="94" t="s">
        <v>339</v>
      </c>
      <c r="B13" s="81"/>
      <c r="C13" s="81"/>
      <c r="D13" s="81"/>
      <c r="E13" s="81"/>
      <c r="F13" s="81"/>
      <c r="G13" s="81"/>
      <c r="H13" s="12" t="s">
        <v>1091</v>
      </c>
      <c r="I13" s="142" t="s">
        <v>9</v>
      </c>
      <c r="J13" s="143"/>
      <c r="K13" s="97" t="s">
        <v>291</v>
      </c>
      <c r="L13" s="81"/>
      <c r="M13" s="81"/>
      <c r="N13" s="97" t="s">
        <v>292</v>
      </c>
      <c r="O13" s="81"/>
    </row>
    <row r="14" spans="1:15" ht="11.4" customHeight="1" x14ac:dyDescent="0.3">
      <c r="F14" s="97" t="s">
        <v>293</v>
      </c>
      <c r="G14" s="81"/>
      <c r="H14" s="13" t="s">
        <v>1092</v>
      </c>
      <c r="I14" s="144" t="s">
        <v>9</v>
      </c>
      <c r="J14" s="145"/>
      <c r="K14" s="100" t="s">
        <v>295</v>
      </c>
      <c r="L14" s="81"/>
      <c r="M14" s="81"/>
      <c r="N14" s="100" t="s">
        <v>295</v>
      </c>
      <c r="O14" s="81"/>
    </row>
    <row r="15" spans="1:15" ht="20.100000000000001" customHeight="1" x14ac:dyDescent="0.3"/>
    <row r="16" spans="1:15" ht="11.4" customHeight="1" x14ac:dyDescent="0.3">
      <c r="A16" s="83" t="s">
        <v>269</v>
      </c>
      <c r="B16" s="84"/>
      <c r="C16" s="85"/>
      <c r="D16" s="6" t="s">
        <v>270</v>
      </c>
      <c r="E16" s="5" t="s">
        <v>271</v>
      </c>
      <c r="F16" s="6" t="s">
        <v>272</v>
      </c>
      <c r="G16" s="5" t="s">
        <v>273</v>
      </c>
      <c r="H16" s="6" t="s">
        <v>274</v>
      </c>
      <c r="I16" s="83" t="s">
        <v>275</v>
      </c>
      <c r="J16" s="85"/>
      <c r="K16" s="6" t="s">
        <v>276</v>
      </c>
      <c r="L16" s="5" t="s">
        <v>277</v>
      </c>
      <c r="M16" s="120" t="s">
        <v>278</v>
      </c>
      <c r="N16" s="93"/>
      <c r="O16" s="5" t="s">
        <v>279</v>
      </c>
    </row>
    <row r="17" spans="1:15" ht="11.4" customHeight="1" x14ac:dyDescent="0.3">
      <c r="A17" s="101" t="s">
        <v>1074</v>
      </c>
      <c r="B17" s="84"/>
      <c r="C17" s="85"/>
      <c r="D17" s="9" t="s">
        <v>450</v>
      </c>
      <c r="E17" s="14" t="s">
        <v>1093</v>
      </c>
      <c r="F17" s="11" t="s">
        <v>1094</v>
      </c>
      <c r="G17" s="15" t="s">
        <v>769</v>
      </c>
      <c r="H17" s="11" t="s">
        <v>1095</v>
      </c>
      <c r="I17" s="141" t="s">
        <v>7</v>
      </c>
      <c r="J17" s="85"/>
      <c r="K17" s="11" t="s">
        <v>880</v>
      </c>
      <c r="L17" s="14" t="s">
        <v>287</v>
      </c>
      <c r="M17" s="88" t="s">
        <v>348</v>
      </c>
      <c r="N17" s="85"/>
      <c r="O17" s="16" t="s">
        <v>289</v>
      </c>
    </row>
    <row r="18" spans="1:15" ht="11.4" customHeight="1" x14ac:dyDescent="0.3">
      <c r="A18" s="88" t="s">
        <v>1074</v>
      </c>
      <c r="B18" s="84"/>
      <c r="C18" s="85"/>
      <c r="D18" s="8" t="s">
        <v>1096</v>
      </c>
      <c r="E18" s="9" t="s">
        <v>1097</v>
      </c>
      <c r="F18" s="10" t="s">
        <v>913</v>
      </c>
      <c r="G18" s="11" t="s">
        <v>1098</v>
      </c>
      <c r="H18" s="10" t="s">
        <v>1099</v>
      </c>
      <c r="I18" s="141" t="s">
        <v>7</v>
      </c>
      <c r="J18" s="85"/>
      <c r="K18" s="10" t="s">
        <v>782</v>
      </c>
      <c r="L18" s="9" t="s">
        <v>287</v>
      </c>
      <c r="M18" s="88" t="s">
        <v>348</v>
      </c>
      <c r="N18" s="85"/>
      <c r="O18" s="9" t="s">
        <v>289</v>
      </c>
    </row>
    <row r="19" spans="1:15" ht="2.85" customHeight="1" x14ac:dyDescent="0.3"/>
    <row r="20" spans="1:15" ht="11.4" customHeight="1" x14ac:dyDescent="0.3">
      <c r="A20" s="94" t="s">
        <v>361</v>
      </c>
      <c r="B20" s="81"/>
      <c r="C20" s="81"/>
      <c r="D20" s="81"/>
      <c r="E20" s="81"/>
      <c r="F20" s="81"/>
      <c r="G20" s="81"/>
      <c r="H20" s="12" t="s">
        <v>1100</v>
      </c>
      <c r="I20" s="142" t="s">
        <v>9</v>
      </c>
      <c r="J20" s="143"/>
      <c r="K20" s="97" t="s">
        <v>291</v>
      </c>
      <c r="L20" s="81"/>
      <c r="M20" s="81"/>
      <c r="N20" s="97" t="s">
        <v>292</v>
      </c>
      <c r="O20" s="81"/>
    </row>
    <row r="21" spans="1:15" ht="11.4" customHeight="1" x14ac:dyDescent="0.3">
      <c r="F21" s="97" t="s">
        <v>293</v>
      </c>
      <c r="G21" s="81"/>
      <c r="H21" s="13" t="s">
        <v>1101</v>
      </c>
      <c r="I21" s="144" t="s">
        <v>9</v>
      </c>
      <c r="J21" s="145"/>
      <c r="K21" s="100" t="s">
        <v>295</v>
      </c>
      <c r="L21" s="81"/>
      <c r="M21" s="81"/>
      <c r="N21" s="100" t="s">
        <v>295</v>
      </c>
      <c r="O21" s="81"/>
    </row>
    <row r="22" spans="1:15" ht="20.100000000000001" customHeight="1" x14ac:dyDescent="0.3"/>
    <row r="23" spans="1:15" ht="11.4" customHeight="1" x14ac:dyDescent="0.3">
      <c r="A23" s="91" t="s">
        <v>269</v>
      </c>
      <c r="B23" s="92"/>
      <c r="C23" s="93"/>
      <c r="D23" s="5" t="s">
        <v>270</v>
      </c>
      <c r="E23" s="6" t="s">
        <v>271</v>
      </c>
      <c r="F23" s="5" t="s">
        <v>272</v>
      </c>
      <c r="G23" s="6" t="s">
        <v>273</v>
      </c>
      <c r="H23" s="5" t="s">
        <v>274</v>
      </c>
      <c r="I23" s="120" t="s">
        <v>275</v>
      </c>
      <c r="J23" s="93"/>
      <c r="K23" s="5" t="s">
        <v>276</v>
      </c>
      <c r="L23" s="6" t="s">
        <v>277</v>
      </c>
      <c r="M23" s="83" t="s">
        <v>278</v>
      </c>
      <c r="N23" s="85"/>
      <c r="O23" s="7" t="s">
        <v>279</v>
      </c>
    </row>
    <row r="24" spans="1:15" ht="11.4" customHeight="1" x14ac:dyDescent="0.3">
      <c r="A24" s="88" t="s">
        <v>1074</v>
      </c>
      <c r="B24" s="84"/>
      <c r="C24" s="85"/>
      <c r="D24" s="14" t="s">
        <v>751</v>
      </c>
      <c r="E24" s="9" t="s">
        <v>7</v>
      </c>
      <c r="F24" s="15" t="s">
        <v>374</v>
      </c>
      <c r="G24" s="11" t="s">
        <v>1102</v>
      </c>
      <c r="H24" s="15" t="s">
        <v>756</v>
      </c>
      <c r="I24" s="141" t="s">
        <v>7</v>
      </c>
      <c r="J24" s="85"/>
      <c r="K24" s="15" t="s">
        <v>338</v>
      </c>
      <c r="L24" s="9" t="s">
        <v>287</v>
      </c>
      <c r="M24" s="88" t="s">
        <v>371</v>
      </c>
      <c r="N24" s="85"/>
      <c r="O24" s="9" t="s">
        <v>709</v>
      </c>
    </row>
    <row r="25" spans="1:15" ht="11.4" customHeight="1" x14ac:dyDescent="0.3">
      <c r="A25" s="101" t="s">
        <v>1074</v>
      </c>
      <c r="B25" s="84"/>
      <c r="C25" s="85"/>
      <c r="D25" s="9" t="s">
        <v>383</v>
      </c>
      <c r="E25" s="14" t="s">
        <v>1103</v>
      </c>
      <c r="F25" s="11" t="s">
        <v>927</v>
      </c>
      <c r="G25" s="15" t="s">
        <v>1104</v>
      </c>
      <c r="H25" s="11" t="s">
        <v>717</v>
      </c>
      <c r="I25" s="141" t="s">
        <v>7</v>
      </c>
      <c r="J25" s="85"/>
      <c r="K25" s="11" t="s">
        <v>884</v>
      </c>
      <c r="L25" s="14" t="s">
        <v>370</v>
      </c>
      <c r="M25" s="88" t="s">
        <v>371</v>
      </c>
      <c r="N25" s="85"/>
      <c r="O25" s="16" t="s">
        <v>289</v>
      </c>
    </row>
    <row r="26" spans="1:15" ht="11.4" customHeight="1" x14ac:dyDescent="0.3">
      <c r="A26" s="88" t="s">
        <v>1074</v>
      </c>
      <c r="B26" s="84"/>
      <c r="C26" s="85"/>
      <c r="D26" s="14" t="s">
        <v>1105</v>
      </c>
      <c r="E26" s="9" t="s">
        <v>1106</v>
      </c>
      <c r="F26" s="15" t="s">
        <v>1107</v>
      </c>
      <c r="G26" s="11" t="s">
        <v>673</v>
      </c>
      <c r="H26" s="15" t="s">
        <v>819</v>
      </c>
      <c r="I26" s="141" t="s">
        <v>7</v>
      </c>
      <c r="J26" s="85"/>
      <c r="K26" s="15" t="s">
        <v>455</v>
      </c>
      <c r="L26" s="9" t="s">
        <v>370</v>
      </c>
      <c r="M26" s="88" t="s">
        <v>371</v>
      </c>
      <c r="N26" s="85"/>
      <c r="O26" s="9" t="s">
        <v>289</v>
      </c>
    </row>
    <row r="27" spans="1:15" ht="11.4" customHeight="1" x14ac:dyDescent="0.3">
      <c r="A27" s="101" t="s">
        <v>1074</v>
      </c>
      <c r="B27" s="84"/>
      <c r="C27" s="85"/>
      <c r="D27" s="9" t="s">
        <v>812</v>
      </c>
      <c r="E27" s="8" t="s">
        <v>1108</v>
      </c>
      <c r="F27" s="11" t="s">
        <v>1087</v>
      </c>
      <c r="G27" s="10" t="s">
        <v>336</v>
      </c>
      <c r="H27" s="11" t="s">
        <v>1109</v>
      </c>
      <c r="I27" s="147" t="s">
        <v>7</v>
      </c>
      <c r="J27" s="106"/>
      <c r="K27" s="11" t="s">
        <v>735</v>
      </c>
      <c r="L27" s="8" t="s">
        <v>287</v>
      </c>
      <c r="M27" s="88" t="s">
        <v>371</v>
      </c>
      <c r="N27" s="85"/>
      <c r="O27" s="45" t="s">
        <v>289</v>
      </c>
    </row>
    <row r="28" spans="1:15" ht="11.4" customHeight="1" x14ac:dyDescent="0.3">
      <c r="A28" s="88" t="s">
        <v>1074</v>
      </c>
      <c r="B28" s="84"/>
      <c r="C28" s="85"/>
      <c r="D28" s="8" t="s">
        <v>744</v>
      </c>
      <c r="E28" s="19" t="s">
        <v>1110</v>
      </c>
      <c r="F28" s="10" t="s">
        <v>859</v>
      </c>
      <c r="G28" s="20" t="s">
        <v>775</v>
      </c>
      <c r="H28" s="10" t="s">
        <v>611</v>
      </c>
      <c r="I28" s="148" t="s">
        <v>7</v>
      </c>
      <c r="J28" s="109"/>
      <c r="K28" s="10" t="s">
        <v>1111</v>
      </c>
      <c r="L28" s="19" t="s">
        <v>370</v>
      </c>
      <c r="M28" s="105" t="s">
        <v>371</v>
      </c>
      <c r="N28" s="106"/>
      <c r="O28" s="19" t="s">
        <v>289</v>
      </c>
    </row>
    <row r="29" spans="1:15" ht="11.4" customHeight="1" x14ac:dyDescent="0.3">
      <c r="A29" s="111" t="s">
        <v>1074</v>
      </c>
      <c r="B29" s="112"/>
      <c r="C29" s="106"/>
      <c r="D29" s="19" t="s">
        <v>654</v>
      </c>
      <c r="E29" s="21" t="s">
        <v>1112</v>
      </c>
      <c r="F29" s="20" t="s">
        <v>563</v>
      </c>
      <c r="G29" s="22" t="s">
        <v>1113</v>
      </c>
      <c r="H29" s="20" t="s">
        <v>1114</v>
      </c>
      <c r="I29" s="148" t="s">
        <v>7</v>
      </c>
      <c r="J29" s="109"/>
      <c r="K29" s="20" t="s">
        <v>747</v>
      </c>
      <c r="L29" s="21" t="s">
        <v>370</v>
      </c>
      <c r="M29" s="110" t="s">
        <v>371</v>
      </c>
      <c r="N29" s="109"/>
      <c r="O29" s="23" t="s">
        <v>309</v>
      </c>
    </row>
    <row r="30" spans="1:15" ht="11.4" customHeight="1" x14ac:dyDescent="0.3">
      <c r="A30" s="110" t="s">
        <v>1074</v>
      </c>
      <c r="B30" s="108"/>
      <c r="C30" s="109"/>
      <c r="D30" s="21" t="s">
        <v>535</v>
      </c>
      <c r="E30" s="19" t="s">
        <v>1115</v>
      </c>
      <c r="F30" s="22" t="s">
        <v>652</v>
      </c>
      <c r="G30" s="20" t="s">
        <v>1013</v>
      </c>
      <c r="H30" s="22" t="s">
        <v>740</v>
      </c>
      <c r="I30" s="148" t="s">
        <v>7</v>
      </c>
      <c r="J30" s="109"/>
      <c r="K30" s="22" t="s">
        <v>779</v>
      </c>
      <c r="L30" s="19" t="s">
        <v>370</v>
      </c>
      <c r="M30" s="110" t="s">
        <v>371</v>
      </c>
      <c r="N30" s="109"/>
      <c r="O30" s="19" t="s">
        <v>309</v>
      </c>
    </row>
    <row r="31" spans="1:15" ht="11.4" customHeight="1" x14ac:dyDescent="0.3">
      <c r="A31" s="107" t="s">
        <v>1074</v>
      </c>
      <c r="B31" s="108"/>
      <c r="C31" s="109"/>
      <c r="D31" s="19" t="s">
        <v>407</v>
      </c>
      <c r="E31" s="21" t="s">
        <v>1116</v>
      </c>
      <c r="F31" s="20" t="s">
        <v>643</v>
      </c>
      <c r="G31" s="22" t="s">
        <v>484</v>
      </c>
      <c r="H31" s="20" t="s">
        <v>740</v>
      </c>
      <c r="I31" s="148" t="s">
        <v>7</v>
      </c>
      <c r="J31" s="109"/>
      <c r="K31" s="20" t="s">
        <v>332</v>
      </c>
      <c r="L31" s="21" t="s">
        <v>370</v>
      </c>
      <c r="M31" s="110" t="s">
        <v>371</v>
      </c>
      <c r="N31" s="109"/>
      <c r="O31" s="23" t="s">
        <v>309</v>
      </c>
    </row>
    <row r="32" spans="1:15" ht="11.4" customHeight="1" x14ac:dyDescent="0.3">
      <c r="A32" s="110" t="s">
        <v>1074</v>
      </c>
      <c r="B32" s="108"/>
      <c r="C32" s="109"/>
      <c r="D32" s="21" t="s">
        <v>372</v>
      </c>
      <c r="E32" s="19" t="s">
        <v>1117</v>
      </c>
      <c r="F32" s="22" t="s">
        <v>1118</v>
      </c>
      <c r="G32" s="20" t="s">
        <v>558</v>
      </c>
      <c r="H32" s="22" t="s">
        <v>513</v>
      </c>
      <c r="I32" s="148" t="s">
        <v>7</v>
      </c>
      <c r="J32" s="109"/>
      <c r="K32" s="22" t="s">
        <v>834</v>
      </c>
      <c r="L32" s="19" t="s">
        <v>370</v>
      </c>
      <c r="M32" s="110" t="s">
        <v>371</v>
      </c>
      <c r="N32" s="109"/>
      <c r="O32" s="19" t="s">
        <v>289</v>
      </c>
    </row>
    <row r="33" spans="1:15" ht="11.4" customHeight="1" x14ac:dyDescent="0.3">
      <c r="A33" s="107" t="s">
        <v>1074</v>
      </c>
      <c r="B33" s="108"/>
      <c r="C33" s="109"/>
      <c r="D33" s="19" t="s">
        <v>1119</v>
      </c>
      <c r="E33" s="21" t="s">
        <v>1120</v>
      </c>
      <c r="F33" s="20" t="s">
        <v>913</v>
      </c>
      <c r="G33" s="22" t="s">
        <v>318</v>
      </c>
      <c r="H33" s="20" t="s">
        <v>1121</v>
      </c>
      <c r="I33" s="148" t="s">
        <v>7</v>
      </c>
      <c r="J33" s="109"/>
      <c r="K33" s="20" t="s">
        <v>1085</v>
      </c>
      <c r="L33" s="21" t="s">
        <v>287</v>
      </c>
      <c r="M33" s="110" t="s">
        <v>371</v>
      </c>
      <c r="N33" s="109"/>
      <c r="O33" s="23" t="s">
        <v>289</v>
      </c>
    </row>
    <row r="34" spans="1:15" ht="11.4" customHeight="1" x14ac:dyDescent="0.3">
      <c r="A34" s="110" t="s">
        <v>1074</v>
      </c>
      <c r="B34" s="108"/>
      <c r="C34" s="109"/>
      <c r="D34" s="21" t="s">
        <v>713</v>
      </c>
      <c r="E34" s="19" t="s">
        <v>7</v>
      </c>
      <c r="F34" s="22" t="s">
        <v>1122</v>
      </c>
      <c r="G34" s="20" t="s">
        <v>1123</v>
      </c>
      <c r="H34" s="22" t="s">
        <v>1124</v>
      </c>
      <c r="I34" s="148" t="s">
        <v>7</v>
      </c>
      <c r="J34" s="109"/>
      <c r="K34" s="22" t="s">
        <v>880</v>
      </c>
      <c r="L34" s="19" t="s">
        <v>287</v>
      </c>
      <c r="M34" s="110" t="s">
        <v>371</v>
      </c>
      <c r="N34" s="109"/>
      <c r="O34" s="19" t="s">
        <v>709</v>
      </c>
    </row>
    <row r="35" spans="1:15" ht="11.4" customHeight="1" x14ac:dyDescent="0.3">
      <c r="A35" s="107" t="s">
        <v>1074</v>
      </c>
      <c r="B35" s="108"/>
      <c r="C35" s="109"/>
      <c r="D35" s="19" t="s">
        <v>389</v>
      </c>
      <c r="E35" s="21" t="s">
        <v>1125</v>
      </c>
      <c r="F35" s="20" t="s">
        <v>1126</v>
      </c>
      <c r="G35" s="22" t="s">
        <v>775</v>
      </c>
      <c r="H35" s="20" t="s">
        <v>780</v>
      </c>
      <c r="I35" s="148" t="s">
        <v>7</v>
      </c>
      <c r="J35" s="109"/>
      <c r="K35" s="20" t="s">
        <v>527</v>
      </c>
      <c r="L35" s="21" t="s">
        <v>370</v>
      </c>
      <c r="M35" s="110" t="s">
        <v>371</v>
      </c>
      <c r="N35" s="109"/>
      <c r="O35" s="23" t="s">
        <v>309</v>
      </c>
    </row>
    <row r="36" spans="1:15" ht="11.4" customHeight="1" x14ac:dyDescent="0.3">
      <c r="A36" s="110" t="s">
        <v>1074</v>
      </c>
      <c r="B36" s="108"/>
      <c r="C36" s="109"/>
      <c r="D36" s="21" t="s">
        <v>1127</v>
      </c>
      <c r="E36" s="19" t="s">
        <v>1128</v>
      </c>
      <c r="F36" s="24" t="s">
        <v>1129</v>
      </c>
      <c r="G36" s="20" t="s">
        <v>1130</v>
      </c>
      <c r="H36" s="24" t="s">
        <v>774</v>
      </c>
      <c r="I36" s="148" t="s">
        <v>7</v>
      </c>
      <c r="J36" s="109"/>
      <c r="K36" s="24" t="s">
        <v>1131</v>
      </c>
      <c r="L36" s="19" t="s">
        <v>287</v>
      </c>
      <c r="M36" s="116" t="s">
        <v>371</v>
      </c>
      <c r="N36" s="93"/>
      <c r="O36" s="19" t="s">
        <v>289</v>
      </c>
    </row>
    <row r="37" spans="1:15" ht="11.4" customHeight="1" x14ac:dyDescent="0.3">
      <c r="A37" s="121" t="s">
        <v>1074</v>
      </c>
      <c r="B37" s="92"/>
      <c r="C37" s="93"/>
      <c r="D37" s="19" t="s">
        <v>1132</v>
      </c>
      <c r="E37" s="25" t="s">
        <v>1133</v>
      </c>
      <c r="F37" s="11" t="s">
        <v>1134</v>
      </c>
      <c r="G37" s="24" t="s">
        <v>1135</v>
      </c>
      <c r="H37" s="11" t="s">
        <v>1136</v>
      </c>
      <c r="I37" s="149" t="s">
        <v>7</v>
      </c>
      <c r="J37" s="93"/>
      <c r="K37" s="11" t="s">
        <v>466</v>
      </c>
      <c r="L37" s="25" t="s">
        <v>287</v>
      </c>
      <c r="M37" s="88" t="s">
        <v>371</v>
      </c>
      <c r="N37" s="85"/>
      <c r="O37" s="26" t="s">
        <v>289</v>
      </c>
    </row>
    <row r="38" spans="1:15" ht="11.4" customHeight="1" x14ac:dyDescent="0.3">
      <c r="A38" s="88" t="s">
        <v>1074</v>
      </c>
      <c r="B38" s="84"/>
      <c r="C38" s="85"/>
      <c r="D38" s="25" t="s">
        <v>566</v>
      </c>
      <c r="E38" s="9" t="s">
        <v>1137</v>
      </c>
      <c r="F38" s="15" t="s">
        <v>1138</v>
      </c>
      <c r="G38" s="11" t="s">
        <v>1139</v>
      </c>
      <c r="H38" s="15" t="s">
        <v>740</v>
      </c>
      <c r="I38" s="141" t="s">
        <v>7</v>
      </c>
      <c r="J38" s="85"/>
      <c r="K38" s="15" t="s">
        <v>864</v>
      </c>
      <c r="L38" s="9" t="s">
        <v>370</v>
      </c>
      <c r="M38" s="88" t="s">
        <v>371</v>
      </c>
      <c r="N38" s="85"/>
      <c r="O38" s="9" t="s">
        <v>309</v>
      </c>
    </row>
    <row r="39" spans="1:15" ht="11.4" customHeight="1" x14ac:dyDescent="0.3">
      <c r="A39" s="101" t="s">
        <v>1074</v>
      </c>
      <c r="B39" s="84"/>
      <c r="C39" s="85"/>
      <c r="D39" s="9" t="s">
        <v>561</v>
      </c>
      <c r="E39" s="14" t="s">
        <v>1140</v>
      </c>
      <c r="F39" s="11" t="s">
        <v>776</v>
      </c>
      <c r="G39" s="15" t="s">
        <v>318</v>
      </c>
      <c r="H39" s="11" t="s">
        <v>569</v>
      </c>
      <c r="I39" s="141" t="s">
        <v>7</v>
      </c>
      <c r="J39" s="85"/>
      <c r="K39" s="11" t="s">
        <v>716</v>
      </c>
      <c r="L39" s="14" t="s">
        <v>287</v>
      </c>
      <c r="M39" s="88" t="s">
        <v>371</v>
      </c>
      <c r="N39" s="85"/>
      <c r="O39" s="16" t="s">
        <v>309</v>
      </c>
    </row>
    <row r="40" spans="1:15" ht="11.4" customHeight="1" x14ac:dyDescent="0.3">
      <c r="A40" s="88" t="s">
        <v>1074</v>
      </c>
      <c r="B40" s="84"/>
      <c r="C40" s="85"/>
      <c r="D40" s="8" t="s">
        <v>840</v>
      </c>
      <c r="E40" s="9" t="s">
        <v>1141</v>
      </c>
      <c r="F40" s="10" t="s">
        <v>469</v>
      </c>
      <c r="G40" s="11" t="s">
        <v>1098</v>
      </c>
      <c r="H40" s="10" t="s">
        <v>989</v>
      </c>
      <c r="I40" s="141" t="s">
        <v>7</v>
      </c>
      <c r="J40" s="85"/>
      <c r="K40" s="10" t="s">
        <v>1079</v>
      </c>
      <c r="L40" s="9" t="s">
        <v>287</v>
      </c>
      <c r="M40" s="88" t="s">
        <v>371</v>
      </c>
      <c r="N40" s="85"/>
      <c r="O40" s="9" t="s">
        <v>309</v>
      </c>
    </row>
    <row r="41" spans="1:15" ht="2.85" customHeight="1" x14ac:dyDescent="0.3"/>
    <row r="42" spans="1:15" ht="11.4" customHeight="1" x14ac:dyDescent="0.3">
      <c r="A42" s="94" t="s">
        <v>478</v>
      </c>
      <c r="B42" s="81"/>
      <c r="C42" s="81"/>
      <c r="D42" s="81"/>
      <c r="E42" s="81"/>
      <c r="F42" s="81"/>
      <c r="G42" s="81"/>
      <c r="H42" s="12" t="s">
        <v>1142</v>
      </c>
      <c r="I42" s="142" t="s">
        <v>9</v>
      </c>
      <c r="J42" s="143"/>
      <c r="K42" s="97" t="s">
        <v>291</v>
      </c>
      <c r="L42" s="81"/>
      <c r="M42" s="81"/>
      <c r="N42" s="97" t="s">
        <v>292</v>
      </c>
      <c r="O42" s="81"/>
    </row>
    <row r="43" spans="1:15" ht="11.4" customHeight="1" x14ac:dyDescent="0.3">
      <c r="F43" s="97" t="s">
        <v>293</v>
      </c>
      <c r="G43" s="81"/>
      <c r="H43" s="13" t="s">
        <v>1143</v>
      </c>
      <c r="I43" s="144" t="s">
        <v>9</v>
      </c>
      <c r="J43" s="145"/>
      <c r="K43" s="100" t="s">
        <v>295</v>
      </c>
      <c r="L43" s="81"/>
      <c r="M43" s="81"/>
      <c r="N43" s="100" t="s">
        <v>295</v>
      </c>
      <c r="O43" s="81"/>
    </row>
    <row r="44" spans="1:15" ht="20.100000000000001" customHeight="1" x14ac:dyDescent="0.3"/>
    <row r="45" spans="1:15" ht="11.4" customHeight="1" x14ac:dyDescent="0.3">
      <c r="A45" s="91" t="s">
        <v>269</v>
      </c>
      <c r="B45" s="92"/>
      <c r="C45" s="93"/>
      <c r="D45" s="5" t="s">
        <v>270</v>
      </c>
      <c r="E45" s="6" t="s">
        <v>271</v>
      </c>
      <c r="F45" s="5" t="s">
        <v>272</v>
      </c>
      <c r="G45" s="6" t="s">
        <v>273</v>
      </c>
      <c r="H45" s="5" t="s">
        <v>274</v>
      </c>
      <c r="I45" s="120" t="s">
        <v>275</v>
      </c>
      <c r="J45" s="93"/>
      <c r="K45" s="5" t="s">
        <v>276</v>
      </c>
      <c r="L45" s="6" t="s">
        <v>277</v>
      </c>
      <c r="M45" s="83" t="s">
        <v>278</v>
      </c>
      <c r="N45" s="85"/>
      <c r="O45" s="7" t="s">
        <v>279</v>
      </c>
    </row>
    <row r="46" spans="1:15" ht="11.4" customHeight="1" x14ac:dyDescent="0.3">
      <c r="A46" s="88" t="s">
        <v>1074</v>
      </c>
      <c r="B46" s="84"/>
      <c r="C46" s="85"/>
      <c r="D46" s="14" t="s">
        <v>753</v>
      </c>
      <c r="E46" s="9" t="s">
        <v>7</v>
      </c>
      <c r="F46" s="15" t="s">
        <v>962</v>
      </c>
      <c r="G46" s="11" t="s">
        <v>1144</v>
      </c>
      <c r="H46" s="15" t="s">
        <v>1145</v>
      </c>
      <c r="I46" s="141" t="s">
        <v>7</v>
      </c>
      <c r="J46" s="85"/>
      <c r="K46" s="15" t="s">
        <v>1146</v>
      </c>
      <c r="L46" s="9" t="s">
        <v>287</v>
      </c>
      <c r="M46" s="88" t="s">
        <v>710</v>
      </c>
      <c r="N46" s="85"/>
      <c r="O46" s="9" t="s">
        <v>709</v>
      </c>
    </row>
    <row r="47" spans="1:15" ht="11.4" customHeight="1" x14ac:dyDescent="0.3">
      <c r="A47" s="111" t="s">
        <v>1074</v>
      </c>
      <c r="B47" s="112"/>
      <c r="C47" s="106"/>
      <c r="D47" s="9" t="s">
        <v>759</v>
      </c>
      <c r="E47" s="8" t="s">
        <v>7</v>
      </c>
      <c r="F47" s="11" t="s">
        <v>1147</v>
      </c>
      <c r="G47" s="10" t="s">
        <v>1148</v>
      </c>
      <c r="H47" s="11" t="s">
        <v>1149</v>
      </c>
      <c r="I47" s="147" t="s">
        <v>7</v>
      </c>
      <c r="J47" s="106"/>
      <c r="K47" s="11" t="s">
        <v>466</v>
      </c>
      <c r="L47" s="8" t="s">
        <v>287</v>
      </c>
      <c r="M47" s="88" t="s">
        <v>710</v>
      </c>
      <c r="N47" s="85"/>
      <c r="O47" s="9" t="s">
        <v>709</v>
      </c>
    </row>
    <row r="48" spans="1:15" ht="2.85" customHeight="1" x14ac:dyDescent="0.3"/>
    <row r="49" spans="1:15" ht="11.4" customHeight="1" x14ac:dyDescent="0.3">
      <c r="A49" s="94" t="s">
        <v>708</v>
      </c>
      <c r="B49" s="81"/>
      <c r="C49" s="81"/>
      <c r="D49" s="81"/>
      <c r="E49" s="81"/>
      <c r="F49" s="81"/>
      <c r="G49" s="81"/>
      <c r="H49" s="12" t="s">
        <v>1150</v>
      </c>
      <c r="I49" s="142" t="s">
        <v>9</v>
      </c>
      <c r="J49" s="143"/>
      <c r="K49" s="97" t="s">
        <v>291</v>
      </c>
      <c r="L49" s="81"/>
      <c r="M49" s="81"/>
      <c r="N49" s="97" t="s">
        <v>292</v>
      </c>
      <c r="O49" s="81"/>
    </row>
    <row r="50" spans="1:15" ht="11.4" customHeight="1" x14ac:dyDescent="0.3">
      <c r="F50" s="97" t="s">
        <v>293</v>
      </c>
      <c r="G50" s="81"/>
      <c r="H50" s="13" t="s">
        <v>1151</v>
      </c>
      <c r="I50" s="144" t="s">
        <v>9</v>
      </c>
      <c r="J50" s="145"/>
      <c r="K50" s="100" t="s">
        <v>295</v>
      </c>
      <c r="L50" s="81"/>
      <c r="M50" s="81"/>
      <c r="N50" s="100" t="s">
        <v>295</v>
      </c>
      <c r="O50" s="81"/>
    </row>
    <row r="51" spans="1:15" ht="20.100000000000001" customHeight="1" x14ac:dyDescent="0.3"/>
    <row r="52" spans="1:15" ht="11.4" customHeight="1" x14ac:dyDescent="0.3">
      <c r="A52" s="83" t="s">
        <v>269</v>
      </c>
      <c r="B52" s="84"/>
      <c r="C52" s="85"/>
      <c r="D52" s="6" t="s">
        <v>270</v>
      </c>
      <c r="E52" s="5" t="s">
        <v>271</v>
      </c>
      <c r="F52" s="6" t="s">
        <v>272</v>
      </c>
      <c r="G52" s="5" t="s">
        <v>273</v>
      </c>
      <c r="H52" s="6" t="s">
        <v>274</v>
      </c>
      <c r="I52" s="83" t="s">
        <v>275</v>
      </c>
      <c r="J52" s="85"/>
      <c r="K52" s="6" t="s">
        <v>276</v>
      </c>
      <c r="L52" s="5" t="s">
        <v>277</v>
      </c>
      <c r="M52" s="120" t="s">
        <v>278</v>
      </c>
      <c r="N52" s="93"/>
      <c r="O52" s="5" t="s">
        <v>279</v>
      </c>
    </row>
    <row r="53" spans="1:15" ht="11.4" customHeight="1" x14ac:dyDescent="0.3">
      <c r="A53" s="111" t="s">
        <v>1074</v>
      </c>
      <c r="B53" s="112"/>
      <c r="C53" s="106"/>
      <c r="D53" s="9" t="s">
        <v>517</v>
      </c>
      <c r="E53" s="8" t="s">
        <v>1152</v>
      </c>
      <c r="F53" s="11" t="s">
        <v>770</v>
      </c>
      <c r="G53" s="10" t="s">
        <v>432</v>
      </c>
      <c r="H53" s="11" t="s">
        <v>7</v>
      </c>
      <c r="I53" s="147" t="s">
        <v>1153</v>
      </c>
      <c r="J53" s="106"/>
      <c r="K53" s="11" t="s">
        <v>693</v>
      </c>
      <c r="L53" s="8" t="s">
        <v>4</v>
      </c>
      <c r="M53" s="88" t="s">
        <v>486</v>
      </c>
      <c r="N53" s="85"/>
      <c r="O53" s="45" t="s">
        <v>289</v>
      </c>
    </row>
    <row r="54" spans="1:15" ht="11.4" customHeight="1" x14ac:dyDescent="0.3">
      <c r="A54" s="116" t="s">
        <v>1074</v>
      </c>
      <c r="B54" s="92"/>
      <c r="C54" s="93"/>
      <c r="D54" s="8" t="s">
        <v>504</v>
      </c>
      <c r="E54" s="53" t="s">
        <v>1154</v>
      </c>
      <c r="F54" s="10" t="s">
        <v>1155</v>
      </c>
      <c r="G54" s="54" t="s">
        <v>1068</v>
      </c>
      <c r="H54" s="10" t="s">
        <v>7</v>
      </c>
      <c r="I54" s="122" t="s">
        <v>1156</v>
      </c>
      <c r="J54" s="123"/>
      <c r="K54" s="10" t="s">
        <v>1157</v>
      </c>
      <c r="L54" s="53" t="s">
        <v>4</v>
      </c>
      <c r="M54" s="105" t="s">
        <v>486</v>
      </c>
      <c r="N54" s="106"/>
      <c r="O54" s="53" t="s">
        <v>309</v>
      </c>
    </row>
    <row r="55" spans="1:15" ht="11.4" customHeight="1" x14ac:dyDescent="0.3">
      <c r="A55" s="111" t="s">
        <v>1074</v>
      </c>
      <c r="B55" s="112"/>
      <c r="C55" s="106"/>
      <c r="D55" s="53" t="s">
        <v>948</v>
      </c>
      <c r="E55" s="8" t="s">
        <v>1158</v>
      </c>
      <c r="F55" s="54" t="s">
        <v>726</v>
      </c>
      <c r="G55" s="10" t="s">
        <v>420</v>
      </c>
      <c r="H55" s="54" t="s">
        <v>7</v>
      </c>
      <c r="I55" s="124" t="s">
        <v>399</v>
      </c>
      <c r="J55" s="125"/>
      <c r="K55" s="54" t="s">
        <v>485</v>
      </c>
      <c r="L55" s="8" t="s">
        <v>4</v>
      </c>
      <c r="M55" s="116" t="s">
        <v>486</v>
      </c>
      <c r="N55" s="93"/>
      <c r="O55" s="45" t="s">
        <v>289</v>
      </c>
    </row>
    <row r="56" spans="1:15" ht="11.4" customHeight="1" x14ac:dyDescent="0.3">
      <c r="A56" s="116" t="s">
        <v>1074</v>
      </c>
      <c r="B56" s="92"/>
      <c r="C56" s="93"/>
      <c r="D56" s="8" t="s">
        <v>550</v>
      </c>
      <c r="E56" s="53" t="s">
        <v>1159</v>
      </c>
      <c r="F56" s="10" t="s">
        <v>1160</v>
      </c>
      <c r="G56" s="54" t="s">
        <v>420</v>
      </c>
      <c r="H56" s="10" t="s">
        <v>7</v>
      </c>
      <c r="I56" s="122" t="s">
        <v>1161</v>
      </c>
      <c r="J56" s="123"/>
      <c r="K56" s="10" t="s">
        <v>884</v>
      </c>
      <c r="L56" s="53" t="s">
        <v>4</v>
      </c>
      <c r="M56" s="105" t="s">
        <v>486</v>
      </c>
      <c r="N56" s="106"/>
      <c r="O56" s="53" t="s">
        <v>289</v>
      </c>
    </row>
    <row r="57" spans="1:15" ht="11.4" customHeight="1" x14ac:dyDescent="0.3">
      <c r="A57" s="111" t="s">
        <v>1074</v>
      </c>
      <c r="B57" s="112"/>
      <c r="C57" s="106"/>
      <c r="D57" s="53" t="s">
        <v>1162</v>
      </c>
      <c r="E57" s="8" t="s">
        <v>1163</v>
      </c>
      <c r="F57" s="54" t="s">
        <v>1164</v>
      </c>
      <c r="G57" s="10" t="s">
        <v>1165</v>
      </c>
      <c r="H57" s="54" t="s">
        <v>7</v>
      </c>
      <c r="I57" s="124" t="s">
        <v>1166</v>
      </c>
      <c r="J57" s="125"/>
      <c r="K57" s="54" t="s">
        <v>1167</v>
      </c>
      <c r="L57" s="8" t="s">
        <v>4</v>
      </c>
      <c r="M57" s="116" t="s">
        <v>486</v>
      </c>
      <c r="N57" s="93"/>
      <c r="O57" s="45" t="s">
        <v>289</v>
      </c>
    </row>
    <row r="58" spans="1:15" ht="11.4" customHeight="1" x14ac:dyDescent="0.3">
      <c r="A58" s="116" t="s">
        <v>1074</v>
      </c>
      <c r="B58" s="92"/>
      <c r="C58" s="93"/>
      <c r="D58" s="8" t="s">
        <v>481</v>
      </c>
      <c r="E58" s="53" t="s">
        <v>1168</v>
      </c>
      <c r="F58" s="10" t="s">
        <v>784</v>
      </c>
      <c r="G58" s="54" t="s">
        <v>1035</v>
      </c>
      <c r="H58" s="10" t="s">
        <v>7</v>
      </c>
      <c r="I58" s="122" t="s">
        <v>421</v>
      </c>
      <c r="J58" s="123"/>
      <c r="K58" s="10" t="s">
        <v>649</v>
      </c>
      <c r="L58" s="53" t="s">
        <v>4</v>
      </c>
      <c r="M58" s="105" t="s">
        <v>486</v>
      </c>
      <c r="N58" s="106"/>
      <c r="O58" s="53" t="s">
        <v>309</v>
      </c>
    </row>
    <row r="59" spans="1:15" ht="11.4" customHeight="1" x14ac:dyDescent="0.3">
      <c r="A59" s="111" t="s">
        <v>1074</v>
      </c>
      <c r="B59" s="112"/>
      <c r="C59" s="106"/>
      <c r="D59" s="53" t="s">
        <v>545</v>
      </c>
      <c r="E59" s="8" t="s">
        <v>1169</v>
      </c>
      <c r="F59" s="54" t="s">
        <v>1170</v>
      </c>
      <c r="G59" s="10" t="s">
        <v>1171</v>
      </c>
      <c r="H59" s="54" t="s">
        <v>7</v>
      </c>
      <c r="I59" s="124" t="s">
        <v>1172</v>
      </c>
      <c r="J59" s="125"/>
      <c r="K59" s="54" t="s">
        <v>735</v>
      </c>
      <c r="L59" s="8" t="s">
        <v>4</v>
      </c>
      <c r="M59" s="116" t="s">
        <v>486</v>
      </c>
      <c r="N59" s="93"/>
      <c r="O59" s="45" t="s">
        <v>309</v>
      </c>
    </row>
    <row r="60" spans="1:15" ht="11.4" customHeight="1" x14ac:dyDescent="0.3">
      <c r="A60" s="116" t="s">
        <v>1074</v>
      </c>
      <c r="B60" s="92"/>
      <c r="C60" s="93"/>
      <c r="D60" s="8" t="s">
        <v>540</v>
      </c>
      <c r="E60" s="53" t="s">
        <v>1173</v>
      </c>
      <c r="F60" s="10" t="s">
        <v>1174</v>
      </c>
      <c r="G60" s="54" t="s">
        <v>690</v>
      </c>
      <c r="H60" s="10" t="s">
        <v>7</v>
      </c>
      <c r="I60" s="122" t="s">
        <v>476</v>
      </c>
      <c r="J60" s="123"/>
      <c r="K60" s="10" t="s">
        <v>530</v>
      </c>
      <c r="L60" s="53" t="s">
        <v>4</v>
      </c>
      <c r="M60" s="105" t="s">
        <v>486</v>
      </c>
      <c r="N60" s="106"/>
      <c r="O60" s="53" t="s">
        <v>309</v>
      </c>
    </row>
    <row r="61" spans="1:15" ht="11.4" customHeight="1" x14ac:dyDescent="0.3">
      <c r="A61" s="111" t="s">
        <v>1074</v>
      </c>
      <c r="B61" s="112"/>
      <c r="C61" s="106"/>
      <c r="D61" s="53" t="s">
        <v>1047</v>
      </c>
      <c r="E61" s="8" t="s">
        <v>1175</v>
      </c>
      <c r="F61" s="54" t="s">
        <v>859</v>
      </c>
      <c r="G61" s="10" t="s">
        <v>543</v>
      </c>
      <c r="H61" s="54" t="s">
        <v>7</v>
      </c>
      <c r="I61" s="124" t="s">
        <v>438</v>
      </c>
      <c r="J61" s="125"/>
      <c r="K61" s="54" t="s">
        <v>576</v>
      </c>
      <c r="L61" s="8" t="s">
        <v>4</v>
      </c>
      <c r="M61" s="116" t="s">
        <v>486</v>
      </c>
      <c r="N61" s="93"/>
      <c r="O61" s="45" t="s">
        <v>289</v>
      </c>
    </row>
    <row r="62" spans="1:15" ht="11.4" customHeight="1" x14ac:dyDescent="0.3">
      <c r="A62" s="116" t="s">
        <v>1074</v>
      </c>
      <c r="B62" s="92"/>
      <c r="C62" s="93"/>
      <c r="D62" s="8" t="s">
        <v>522</v>
      </c>
      <c r="E62" s="53" t="s">
        <v>1176</v>
      </c>
      <c r="F62" s="10" t="s">
        <v>750</v>
      </c>
      <c r="G62" s="54" t="s">
        <v>392</v>
      </c>
      <c r="H62" s="10" t="s">
        <v>7</v>
      </c>
      <c r="I62" s="122" t="s">
        <v>433</v>
      </c>
      <c r="J62" s="123"/>
      <c r="K62" s="10" t="s">
        <v>539</v>
      </c>
      <c r="L62" s="53" t="s">
        <v>4</v>
      </c>
      <c r="M62" s="105" t="s">
        <v>486</v>
      </c>
      <c r="N62" s="106"/>
      <c r="O62" s="53" t="s">
        <v>309</v>
      </c>
    </row>
    <row r="63" spans="1:15" ht="14.25" customHeight="1" x14ac:dyDescent="0.3"/>
    <row r="64" spans="1:15" ht="14.25" customHeight="1" x14ac:dyDescent="0.3">
      <c r="A64" s="126" t="s">
        <v>1177</v>
      </c>
      <c r="B64" s="81"/>
      <c r="C64" s="81"/>
      <c r="D64" s="81"/>
      <c r="E64" s="81"/>
      <c r="F64" s="81"/>
      <c r="G64" s="81"/>
      <c r="H64" s="81"/>
      <c r="I64" s="81"/>
      <c r="J64" s="127" t="s">
        <v>516</v>
      </c>
      <c r="K64" s="81"/>
      <c r="L64" s="81"/>
      <c r="M64" s="81"/>
      <c r="N64" s="81"/>
      <c r="O64" s="81"/>
    </row>
    <row r="65" spans="1:15" ht="0.6" customHeight="1" x14ac:dyDescent="0.3"/>
    <row r="66" spans="1:15" ht="11.4" customHeight="1" x14ac:dyDescent="0.3">
      <c r="A66" s="121" t="s">
        <v>1074</v>
      </c>
      <c r="B66" s="92"/>
      <c r="C66" s="93"/>
      <c r="D66" s="28" t="s">
        <v>510</v>
      </c>
      <c r="E66" s="25" t="s">
        <v>1178</v>
      </c>
      <c r="F66" s="27" t="s">
        <v>1087</v>
      </c>
      <c r="G66" s="24" t="s">
        <v>1179</v>
      </c>
      <c r="H66" s="27" t="s">
        <v>7</v>
      </c>
      <c r="I66" s="122" t="s">
        <v>1180</v>
      </c>
      <c r="J66" s="123"/>
      <c r="K66" s="27" t="s">
        <v>570</v>
      </c>
      <c r="L66" s="25" t="s">
        <v>4</v>
      </c>
      <c r="M66" s="105" t="s">
        <v>486</v>
      </c>
      <c r="N66" s="106"/>
      <c r="O66" s="26" t="s">
        <v>289</v>
      </c>
    </row>
    <row r="67" spans="1:15" ht="11.4" customHeight="1" x14ac:dyDescent="0.3">
      <c r="A67" s="105" t="s">
        <v>1074</v>
      </c>
      <c r="B67" s="112"/>
      <c r="C67" s="106"/>
      <c r="D67" s="25" t="s">
        <v>498</v>
      </c>
      <c r="E67" s="28" t="s">
        <v>1181</v>
      </c>
      <c r="F67" s="24" t="s">
        <v>519</v>
      </c>
      <c r="G67" s="27" t="s">
        <v>625</v>
      </c>
      <c r="H67" s="24" t="s">
        <v>7</v>
      </c>
      <c r="I67" s="124" t="s">
        <v>1182</v>
      </c>
      <c r="J67" s="125"/>
      <c r="K67" s="24" t="s">
        <v>527</v>
      </c>
      <c r="L67" s="28" t="s">
        <v>4</v>
      </c>
      <c r="M67" s="116" t="s">
        <v>486</v>
      </c>
      <c r="N67" s="93"/>
      <c r="O67" s="28" t="s">
        <v>289</v>
      </c>
    </row>
    <row r="68" spans="1:15" ht="11.4" customHeight="1" x14ac:dyDescent="0.3">
      <c r="A68" s="121" t="s">
        <v>1074</v>
      </c>
      <c r="B68" s="92"/>
      <c r="C68" s="93"/>
      <c r="D68" s="28" t="s">
        <v>654</v>
      </c>
      <c r="E68" s="25" t="s">
        <v>1183</v>
      </c>
      <c r="F68" s="27" t="s">
        <v>452</v>
      </c>
      <c r="G68" s="24" t="s">
        <v>1113</v>
      </c>
      <c r="H68" s="27" t="s">
        <v>7</v>
      </c>
      <c r="I68" s="122" t="s">
        <v>1184</v>
      </c>
      <c r="J68" s="123"/>
      <c r="K68" s="27" t="s">
        <v>624</v>
      </c>
      <c r="L68" s="25" t="s">
        <v>4</v>
      </c>
      <c r="M68" s="105" t="s">
        <v>486</v>
      </c>
      <c r="N68" s="106"/>
      <c r="O68" s="26" t="s">
        <v>309</v>
      </c>
    </row>
    <row r="69" spans="1:15" ht="11.4" customHeight="1" x14ac:dyDescent="0.3">
      <c r="A69" s="105" t="s">
        <v>1074</v>
      </c>
      <c r="B69" s="112"/>
      <c r="C69" s="106"/>
      <c r="D69" s="25" t="s">
        <v>535</v>
      </c>
      <c r="E69" s="28" t="s">
        <v>1185</v>
      </c>
      <c r="F69" s="24" t="s">
        <v>586</v>
      </c>
      <c r="G69" s="27" t="s">
        <v>1013</v>
      </c>
      <c r="H69" s="24" t="s">
        <v>7</v>
      </c>
      <c r="I69" s="124" t="s">
        <v>1186</v>
      </c>
      <c r="J69" s="125"/>
      <c r="K69" s="24" t="s">
        <v>1018</v>
      </c>
      <c r="L69" s="28" t="s">
        <v>4</v>
      </c>
      <c r="M69" s="116" t="s">
        <v>486</v>
      </c>
      <c r="N69" s="93"/>
      <c r="O69" s="28" t="s">
        <v>309</v>
      </c>
    </row>
    <row r="70" spans="1:15" ht="11.4" customHeight="1" x14ac:dyDescent="0.3">
      <c r="A70" s="121" t="s">
        <v>1074</v>
      </c>
      <c r="B70" s="92"/>
      <c r="C70" s="93"/>
      <c r="D70" s="28" t="s">
        <v>407</v>
      </c>
      <c r="E70" s="25" t="s">
        <v>1187</v>
      </c>
      <c r="F70" s="27" t="s">
        <v>1188</v>
      </c>
      <c r="G70" s="24" t="s">
        <v>484</v>
      </c>
      <c r="H70" s="27" t="s">
        <v>7</v>
      </c>
      <c r="I70" s="122" t="s">
        <v>1189</v>
      </c>
      <c r="J70" s="123"/>
      <c r="K70" s="27" t="s">
        <v>693</v>
      </c>
      <c r="L70" s="25" t="s">
        <v>4</v>
      </c>
      <c r="M70" s="105" t="s">
        <v>486</v>
      </c>
      <c r="N70" s="106"/>
      <c r="O70" s="26" t="s">
        <v>309</v>
      </c>
    </row>
    <row r="71" spans="1:15" ht="11.4" customHeight="1" x14ac:dyDescent="0.3">
      <c r="A71" s="105" t="s">
        <v>1074</v>
      </c>
      <c r="B71" s="112"/>
      <c r="C71" s="106"/>
      <c r="D71" s="25" t="s">
        <v>487</v>
      </c>
      <c r="E71" s="28" t="s">
        <v>1190</v>
      </c>
      <c r="F71" s="24" t="s">
        <v>1191</v>
      </c>
      <c r="G71" s="27" t="s">
        <v>453</v>
      </c>
      <c r="H71" s="24" t="s">
        <v>7</v>
      </c>
      <c r="I71" s="124" t="s">
        <v>1192</v>
      </c>
      <c r="J71" s="125"/>
      <c r="K71" s="24" t="s">
        <v>570</v>
      </c>
      <c r="L71" s="28" t="s">
        <v>4</v>
      </c>
      <c r="M71" s="116" t="s">
        <v>486</v>
      </c>
      <c r="N71" s="93"/>
      <c r="O71" s="28" t="s">
        <v>289</v>
      </c>
    </row>
    <row r="72" spans="1:15" ht="11.4" customHeight="1" x14ac:dyDescent="0.3">
      <c r="A72" s="121" t="s">
        <v>1074</v>
      </c>
      <c r="B72" s="92"/>
      <c r="C72" s="93"/>
      <c r="D72" s="28" t="s">
        <v>412</v>
      </c>
      <c r="E72" s="25" t="s">
        <v>1193</v>
      </c>
      <c r="F72" s="27" t="s">
        <v>1194</v>
      </c>
      <c r="G72" s="24" t="s">
        <v>605</v>
      </c>
      <c r="H72" s="27" t="s">
        <v>7</v>
      </c>
      <c r="I72" s="122" t="s">
        <v>1195</v>
      </c>
      <c r="J72" s="123"/>
      <c r="K72" s="27" t="s">
        <v>681</v>
      </c>
      <c r="L72" s="25" t="s">
        <v>4</v>
      </c>
      <c r="M72" s="105" t="s">
        <v>486</v>
      </c>
      <c r="N72" s="106"/>
      <c r="O72" s="29" t="s">
        <v>309</v>
      </c>
    </row>
    <row r="73" spans="1:15" ht="11.4" customHeight="1" x14ac:dyDescent="0.3">
      <c r="A73" s="105" t="s">
        <v>1074</v>
      </c>
      <c r="B73" s="112"/>
      <c r="C73" s="106"/>
      <c r="D73" s="25" t="s">
        <v>517</v>
      </c>
      <c r="E73" s="28" t="s">
        <v>1196</v>
      </c>
      <c r="F73" s="24" t="s">
        <v>1129</v>
      </c>
      <c r="G73" s="27" t="s">
        <v>284</v>
      </c>
      <c r="H73" s="24" t="s">
        <v>7</v>
      </c>
      <c r="I73" s="124" t="s">
        <v>520</v>
      </c>
      <c r="J73" s="125"/>
      <c r="K73" s="24" t="s">
        <v>570</v>
      </c>
      <c r="L73" s="28" t="s">
        <v>4</v>
      </c>
      <c r="M73" s="116" t="s">
        <v>486</v>
      </c>
      <c r="N73" s="93"/>
      <c r="O73" s="28" t="s">
        <v>289</v>
      </c>
    </row>
    <row r="74" spans="1:15" ht="11.4" customHeight="1" x14ac:dyDescent="0.3">
      <c r="A74" s="121" t="s">
        <v>1074</v>
      </c>
      <c r="B74" s="92"/>
      <c r="C74" s="93"/>
      <c r="D74" s="28" t="s">
        <v>948</v>
      </c>
      <c r="E74" s="34" t="s">
        <v>1197</v>
      </c>
      <c r="F74" s="27" t="s">
        <v>351</v>
      </c>
      <c r="G74" s="35" t="s">
        <v>867</v>
      </c>
      <c r="H74" s="27" t="s">
        <v>7</v>
      </c>
      <c r="I74" s="135" t="s">
        <v>780</v>
      </c>
      <c r="J74" s="136"/>
      <c r="K74" s="27" t="s">
        <v>485</v>
      </c>
      <c r="L74" s="34" t="s">
        <v>4</v>
      </c>
      <c r="M74" s="105" t="s">
        <v>486</v>
      </c>
      <c r="N74" s="106"/>
      <c r="O74" s="36" t="s">
        <v>289</v>
      </c>
    </row>
    <row r="75" spans="1:15" ht="11.4" customHeight="1" x14ac:dyDescent="0.3">
      <c r="A75" s="105" t="s">
        <v>1074</v>
      </c>
      <c r="B75" s="112"/>
      <c r="C75" s="106"/>
      <c r="D75" s="36" t="s">
        <v>545</v>
      </c>
      <c r="E75" s="37" t="s">
        <v>1198</v>
      </c>
      <c r="F75" s="38" t="s">
        <v>1046</v>
      </c>
      <c r="G75" s="38" t="s">
        <v>1199</v>
      </c>
      <c r="H75" s="38" t="s">
        <v>7</v>
      </c>
      <c r="I75" s="135" t="s">
        <v>1200</v>
      </c>
      <c r="J75" s="138"/>
      <c r="K75" s="38" t="s">
        <v>503</v>
      </c>
      <c r="L75" s="37" t="s">
        <v>4</v>
      </c>
      <c r="M75" s="110" t="s">
        <v>486</v>
      </c>
      <c r="N75" s="137"/>
      <c r="O75" s="37" t="s">
        <v>309</v>
      </c>
    </row>
    <row r="76" spans="1:15" ht="11.4" customHeight="1" x14ac:dyDescent="0.3">
      <c r="A76" s="107" t="s">
        <v>1074</v>
      </c>
      <c r="B76" s="108"/>
      <c r="C76" s="137"/>
      <c r="D76" s="37" t="s">
        <v>504</v>
      </c>
      <c r="E76" s="37" t="s">
        <v>1201</v>
      </c>
      <c r="F76" s="38" t="s">
        <v>1202</v>
      </c>
      <c r="G76" s="38" t="s">
        <v>934</v>
      </c>
      <c r="H76" s="38" t="s">
        <v>7</v>
      </c>
      <c r="I76" s="135" t="s">
        <v>1203</v>
      </c>
      <c r="J76" s="138"/>
      <c r="K76" s="38" t="s">
        <v>422</v>
      </c>
      <c r="L76" s="37" t="s">
        <v>4</v>
      </c>
      <c r="M76" s="110" t="s">
        <v>486</v>
      </c>
      <c r="N76" s="137"/>
      <c r="O76" s="37" t="s">
        <v>309</v>
      </c>
    </row>
    <row r="77" spans="1:15" ht="11.4" customHeight="1" x14ac:dyDescent="0.3">
      <c r="A77" s="121" t="s">
        <v>1074</v>
      </c>
      <c r="B77" s="92"/>
      <c r="C77" s="139"/>
      <c r="D77" s="37" t="s">
        <v>550</v>
      </c>
      <c r="E77" s="37" t="s">
        <v>1204</v>
      </c>
      <c r="F77" s="38" t="s">
        <v>1205</v>
      </c>
      <c r="G77" s="38" t="s">
        <v>420</v>
      </c>
      <c r="H77" s="38" t="s">
        <v>7</v>
      </c>
      <c r="I77" s="122" t="s">
        <v>533</v>
      </c>
      <c r="J77" s="140"/>
      <c r="K77" s="38" t="s">
        <v>570</v>
      </c>
      <c r="L77" s="37" t="s">
        <v>4</v>
      </c>
      <c r="M77" s="116" t="s">
        <v>486</v>
      </c>
      <c r="N77" s="139"/>
      <c r="O77" s="37" t="s">
        <v>289</v>
      </c>
    </row>
    <row r="78" spans="1:15" ht="2.85" customHeight="1" x14ac:dyDescent="0.3"/>
    <row r="79" spans="1:15" ht="11.4" customHeight="1" x14ac:dyDescent="0.3">
      <c r="A79" s="94" t="s">
        <v>612</v>
      </c>
      <c r="B79" s="81"/>
      <c r="C79" s="81"/>
      <c r="D79" s="81"/>
      <c r="E79" s="81"/>
      <c r="F79" s="81"/>
      <c r="G79" s="81"/>
      <c r="H79" s="12" t="s">
        <v>9</v>
      </c>
      <c r="I79" s="142" t="s">
        <v>1206</v>
      </c>
      <c r="J79" s="143"/>
      <c r="K79" s="97" t="s">
        <v>291</v>
      </c>
      <c r="L79" s="81"/>
      <c r="M79" s="81"/>
      <c r="N79" s="97" t="s">
        <v>292</v>
      </c>
      <c r="O79" s="81"/>
    </row>
    <row r="80" spans="1:15" ht="11.4" customHeight="1" x14ac:dyDescent="0.3">
      <c r="F80" s="97" t="s">
        <v>293</v>
      </c>
      <c r="G80" s="81"/>
      <c r="H80" s="13" t="s">
        <v>9</v>
      </c>
      <c r="I80" s="144" t="s">
        <v>1207</v>
      </c>
      <c r="J80" s="145"/>
      <c r="K80" s="100" t="s">
        <v>295</v>
      </c>
      <c r="L80" s="81"/>
      <c r="M80" s="81"/>
      <c r="N80" s="100" t="s">
        <v>295</v>
      </c>
      <c r="O80" s="81"/>
    </row>
    <row r="81" spans="1:15" ht="408.9" customHeight="1" x14ac:dyDescent="0.3"/>
    <row r="82" spans="1:15" ht="209.1" customHeight="1" x14ac:dyDescent="0.3"/>
    <row r="83" spans="1:15" ht="14.25" customHeight="1" x14ac:dyDescent="0.3">
      <c r="A83" s="126" t="s">
        <v>1177</v>
      </c>
      <c r="B83" s="81"/>
      <c r="C83" s="81"/>
      <c r="D83" s="81"/>
      <c r="E83" s="81"/>
      <c r="F83" s="81"/>
      <c r="G83" s="81"/>
      <c r="H83" s="81"/>
      <c r="I83" s="81"/>
      <c r="J83" s="127" t="s">
        <v>615</v>
      </c>
      <c r="K83" s="81"/>
      <c r="L83" s="81"/>
      <c r="M83" s="81"/>
      <c r="N83" s="81"/>
      <c r="O83" s="81"/>
    </row>
    <row r="84" spans="1:15" ht="11.4" customHeight="1" x14ac:dyDescent="0.3"/>
  </sheetData>
  <mergeCells count="208">
    <mergeCell ref="A83:I83"/>
    <mergeCell ref="J83:O83"/>
    <mergeCell ref="A79:G79"/>
    <mergeCell ref="I79:J79"/>
    <mergeCell ref="K79:M79"/>
    <mergeCell ref="N79:O79"/>
    <mergeCell ref="F80:G80"/>
    <mergeCell ref="I80:J80"/>
    <mergeCell ref="K80:M80"/>
    <mergeCell ref="N80:O80"/>
    <mergeCell ref="A76:C76"/>
    <mergeCell ref="I76:J76"/>
    <mergeCell ref="M76:N76"/>
    <mergeCell ref="A77:C77"/>
    <mergeCell ref="I77:J77"/>
    <mergeCell ref="M77:N77"/>
    <mergeCell ref="A74:C74"/>
    <mergeCell ref="I74:J74"/>
    <mergeCell ref="M74:N74"/>
    <mergeCell ref="A75:C75"/>
    <mergeCell ref="I75:J75"/>
    <mergeCell ref="M75:N75"/>
    <mergeCell ref="A72:C72"/>
    <mergeCell ref="I72:J72"/>
    <mergeCell ref="M72:N72"/>
    <mergeCell ref="A73:C73"/>
    <mergeCell ref="I73:J73"/>
    <mergeCell ref="M73:N73"/>
    <mergeCell ref="A70:C70"/>
    <mergeCell ref="I70:J70"/>
    <mergeCell ref="M70:N70"/>
    <mergeCell ref="A71:C71"/>
    <mergeCell ref="I71:J71"/>
    <mergeCell ref="M71:N71"/>
    <mergeCell ref="A68:C68"/>
    <mergeCell ref="I68:J68"/>
    <mergeCell ref="M68:N68"/>
    <mergeCell ref="A69:C69"/>
    <mergeCell ref="I69:J69"/>
    <mergeCell ref="M69:N69"/>
    <mergeCell ref="A64:I64"/>
    <mergeCell ref="J64:O64"/>
    <mergeCell ref="A66:C66"/>
    <mergeCell ref="I66:J66"/>
    <mergeCell ref="M66:N66"/>
    <mergeCell ref="A67:C67"/>
    <mergeCell ref="I67:J67"/>
    <mergeCell ref="M67:N67"/>
    <mergeCell ref="A61:C61"/>
    <mergeCell ref="I61:J61"/>
    <mergeCell ref="M61:N61"/>
    <mergeCell ref="A62:C62"/>
    <mergeCell ref="I62:J62"/>
    <mergeCell ref="M62:N62"/>
    <mergeCell ref="A59:C59"/>
    <mergeCell ref="I59:J59"/>
    <mergeCell ref="M59:N59"/>
    <mergeCell ref="A60:C60"/>
    <mergeCell ref="I60:J60"/>
    <mergeCell ref="M60:N60"/>
    <mergeCell ref="A57:C57"/>
    <mergeCell ref="I57:J57"/>
    <mergeCell ref="M57:N57"/>
    <mergeCell ref="A58:C58"/>
    <mergeCell ref="I58:J58"/>
    <mergeCell ref="M58:N58"/>
    <mergeCell ref="A55:C55"/>
    <mergeCell ref="I55:J55"/>
    <mergeCell ref="M55:N55"/>
    <mergeCell ref="A56:C56"/>
    <mergeCell ref="I56:J56"/>
    <mergeCell ref="M56:N56"/>
    <mergeCell ref="A53:C53"/>
    <mergeCell ref="I53:J53"/>
    <mergeCell ref="M53:N53"/>
    <mergeCell ref="A54:C54"/>
    <mergeCell ref="I54:J54"/>
    <mergeCell ref="M54:N54"/>
    <mergeCell ref="F50:G50"/>
    <mergeCell ref="I50:J50"/>
    <mergeCell ref="K50:M50"/>
    <mergeCell ref="N50:O50"/>
    <mergeCell ref="A52:C52"/>
    <mergeCell ref="I52:J52"/>
    <mergeCell ref="M52:N52"/>
    <mergeCell ref="A47:C47"/>
    <mergeCell ref="I47:J47"/>
    <mergeCell ref="M47:N47"/>
    <mergeCell ref="A49:G49"/>
    <mergeCell ref="I49:J49"/>
    <mergeCell ref="K49:M49"/>
    <mergeCell ref="N49:O49"/>
    <mergeCell ref="A45:C45"/>
    <mergeCell ref="I45:J45"/>
    <mergeCell ref="M45:N45"/>
    <mergeCell ref="A46:C46"/>
    <mergeCell ref="I46:J46"/>
    <mergeCell ref="M46:N46"/>
    <mergeCell ref="A42:G42"/>
    <mergeCell ref="I42:J42"/>
    <mergeCell ref="K42:M42"/>
    <mergeCell ref="N42:O42"/>
    <mergeCell ref="F43:G43"/>
    <mergeCell ref="I43:J43"/>
    <mergeCell ref="K43:M43"/>
    <mergeCell ref="N43:O43"/>
    <mergeCell ref="A39:C39"/>
    <mergeCell ref="I39:J39"/>
    <mergeCell ref="M39:N39"/>
    <mergeCell ref="A40:C40"/>
    <mergeCell ref="I40:J40"/>
    <mergeCell ref="M40:N40"/>
    <mergeCell ref="A37:C37"/>
    <mergeCell ref="I37:J37"/>
    <mergeCell ref="M37:N37"/>
    <mergeCell ref="A38:C38"/>
    <mergeCell ref="I38:J38"/>
    <mergeCell ref="M38:N38"/>
    <mergeCell ref="A35:C35"/>
    <mergeCell ref="I35:J35"/>
    <mergeCell ref="M35:N35"/>
    <mergeCell ref="A36:C36"/>
    <mergeCell ref="I36:J36"/>
    <mergeCell ref="M36:N36"/>
    <mergeCell ref="A33:C33"/>
    <mergeCell ref="I33:J33"/>
    <mergeCell ref="M33:N33"/>
    <mergeCell ref="A34:C34"/>
    <mergeCell ref="I34:J34"/>
    <mergeCell ref="M34:N34"/>
    <mergeCell ref="A31:C31"/>
    <mergeCell ref="I31:J31"/>
    <mergeCell ref="M31:N31"/>
    <mergeCell ref="A32:C32"/>
    <mergeCell ref="I32:J32"/>
    <mergeCell ref="M32:N32"/>
    <mergeCell ref="A29:C29"/>
    <mergeCell ref="I29:J29"/>
    <mergeCell ref="M29:N29"/>
    <mergeCell ref="A30:C30"/>
    <mergeCell ref="I30:J30"/>
    <mergeCell ref="M30:N30"/>
    <mergeCell ref="A27:C27"/>
    <mergeCell ref="I27:J27"/>
    <mergeCell ref="M27:N27"/>
    <mergeCell ref="A28:C28"/>
    <mergeCell ref="I28:J28"/>
    <mergeCell ref="M28:N28"/>
    <mergeCell ref="A25:C25"/>
    <mergeCell ref="I25:J25"/>
    <mergeCell ref="M25:N25"/>
    <mergeCell ref="A26:C26"/>
    <mergeCell ref="I26:J26"/>
    <mergeCell ref="M26:N26"/>
    <mergeCell ref="A23:C23"/>
    <mergeCell ref="I23:J23"/>
    <mergeCell ref="M23:N23"/>
    <mergeCell ref="A24:C24"/>
    <mergeCell ref="I24:J24"/>
    <mergeCell ref="M24:N24"/>
    <mergeCell ref="A20:G20"/>
    <mergeCell ref="I20:J20"/>
    <mergeCell ref="K20:M20"/>
    <mergeCell ref="N20:O20"/>
    <mergeCell ref="F21:G21"/>
    <mergeCell ref="I21:J21"/>
    <mergeCell ref="K21:M21"/>
    <mergeCell ref="N21:O21"/>
    <mergeCell ref="A17:C17"/>
    <mergeCell ref="I17:J17"/>
    <mergeCell ref="M17:N17"/>
    <mergeCell ref="A18:C18"/>
    <mergeCell ref="I18:J18"/>
    <mergeCell ref="M18:N18"/>
    <mergeCell ref="F14:G14"/>
    <mergeCell ref="I14:J14"/>
    <mergeCell ref="K14:M14"/>
    <mergeCell ref="N14:O14"/>
    <mergeCell ref="A16:C16"/>
    <mergeCell ref="I16:J16"/>
    <mergeCell ref="M16:N16"/>
    <mergeCell ref="A11:C11"/>
    <mergeCell ref="I11:J11"/>
    <mergeCell ref="M11:N11"/>
    <mergeCell ref="A13:G13"/>
    <mergeCell ref="I13:J13"/>
    <mergeCell ref="K13:M13"/>
    <mergeCell ref="N13:O13"/>
    <mergeCell ref="A10:C10"/>
    <mergeCell ref="I10:J10"/>
    <mergeCell ref="M10:N10"/>
    <mergeCell ref="A7:C7"/>
    <mergeCell ref="I7:J7"/>
    <mergeCell ref="M7:N7"/>
    <mergeCell ref="A8:C8"/>
    <mergeCell ref="I8:J8"/>
    <mergeCell ref="M8:N8"/>
    <mergeCell ref="A1:O1"/>
    <mergeCell ref="C3:O3"/>
    <mergeCell ref="A5:C5"/>
    <mergeCell ref="I5:J5"/>
    <mergeCell ref="M5:N5"/>
    <mergeCell ref="A6:C6"/>
    <mergeCell ref="I6:J6"/>
    <mergeCell ref="M6:N6"/>
    <mergeCell ref="A9:C9"/>
    <mergeCell ref="I9:J9"/>
    <mergeCell ref="M9:N9"/>
  </mergeCells>
  <pageMargins left="0.3611111111111111" right="0.3611111111111111" top="0.3611111111111111" bottom="0.3611111111111111" header="0.3" footer="0.3"/>
  <pageSetup orientation="portrait" r:id="rId1"/>
  <rowBreaks count="2" manualBreakCount="2">
    <brk id="65" max="16383" man="1"/>
    <brk id="8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Views>
    <sheetView topLeftCell="A43" workbookViewId="0">
      <selection activeCell="D66" sqref="D66"/>
    </sheetView>
  </sheetViews>
  <sheetFormatPr defaultColWidth="9.109375" defaultRowHeight="14.4" x14ac:dyDescent="0.3"/>
  <cols>
    <col min="1" max="1" width="11.109375" style="3" customWidth="1"/>
    <col min="2" max="3" width="0.88671875" style="3" customWidth="1"/>
    <col min="4" max="4" width="12.5546875" style="3" customWidth="1"/>
    <col min="5" max="5" width="10.109375" style="3" customWidth="1"/>
    <col min="6" max="8" width="7.88671875" style="3" customWidth="1"/>
    <col min="9" max="9" width="4.44140625" style="3" customWidth="1"/>
    <col min="10" max="10" width="4" style="3" customWidth="1"/>
    <col min="11" max="12" width="7.33203125" style="3" customWidth="1"/>
    <col min="13" max="13" width="1.5546875" style="3" customWidth="1"/>
    <col min="14" max="14" width="7.88671875" style="3" customWidth="1"/>
    <col min="15" max="15" width="8.33203125" style="3" customWidth="1"/>
    <col min="16" max="256" width="9.109375" style="3"/>
    <col min="257" max="257" width="11.109375" style="3" customWidth="1"/>
    <col min="258" max="259" width="0.88671875" style="3" customWidth="1"/>
    <col min="260" max="260" width="12.5546875" style="3" customWidth="1"/>
    <col min="261" max="261" width="10.109375" style="3" customWidth="1"/>
    <col min="262" max="264" width="7.88671875" style="3" customWidth="1"/>
    <col min="265" max="265" width="4.44140625" style="3" customWidth="1"/>
    <col min="266" max="266" width="4" style="3" customWidth="1"/>
    <col min="267" max="268" width="7.33203125" style="3" customWidth="1"/>
    <col min="269" max="269" width="1.5546875" style="3" customWidth="1"/>
    <col min="270" max="270" width="7.88671875" style="3" customWidth="1"/>
    <col min="271" max="271" width="8.33203125" style="3" customWidth="1"/>
    <col min="272" max="512" width="9.109375" style="3"/>
    <col min="513" max="513" width="11.109375" style="3" customWidth="1"/>
    <col min="514" max="515" width="0.88671875" style="3" customWidth="1"/>
    <col min="516" max="516" width="12.5546875" style="3" customWidth="1"/>
    <col min="517" max="517" width="10.109375" style="3" customWidth="1"/>
    <col min="518" max="520" width="7.88671875" style="3" customWidth="1"/>
    <col min="521" max="521" width="4.44140625" style="3" customWidth="1"/>
    <col min="522" max="522" width="4" style="3" customWidth="1"/>
    <col min="523" max="524" width="7.33203125" style="3" customWidth="1"/>
    <col min="525" max="525" width="1.5546875" style="3" customWidth="1"/>
    <col min="526" max="526" width="7.88671875" style="3" customWidth="1"/>
    <col min="527" max="527" width="8.33203125" style="3" customWidth="1"/>
    <col min="528" max="768" width="9.109375" style="3"/>
    <col min="769" max="769" width="11.109375" style="3" customWidth="1"/>
    <col min="770" max="771" width="0.88671875" style="3" customWidth="1"/>
    <col min="772" max="772" width="12.5546875" style="3" customWidth="1"/>
    <col min="773" max="773" width="10.109375" style="3" customWidth="1"/>
    <col min="774" max="776" width="7.88671875" style="3" customWidth="1"/>
    <col min="777" max="777" width="4.44140625" style="3" customWidth="1"/>
    <col min="778" max="778" width="4" style="3" customWidth="1"/>
    <col min="779" max="780" width="7.33203125" style="3" customWidth="1"/>
    <col min="781" max="781" width="1.5546875" style="3" customWidth="1"/>
    <col min="782" max="782" width="7.88671875" style="3" customWidth="1"/>
    <col min="783" max="783" width="8.33203125" style="3" customWidth="1"/>
    <col min="784" max="1024" width="9.109375" style="3"/>
    <col min="1025" max="1025" width="11.109375" style="3" customWidth="1"/>
    <col min="1026" max="1027" width="0.88671875" style="3" customWidth="1"/>
    <col min="1028" max="1028" width="12.5546875" style="3" customWidth="1"/>
    <col min="1029" max="1029" width="10.109375" style="3" customWidth="1"/>
    <col min="1030" max="1032" width="7.88671875" style="3" customWidth="1"/>
    <col min="1033" max="1033" width="4.44140625" style="3" customWidth="1"/>
    <col min="1034" max="1034" width="4" style="3" customWidth="1"/>
    <col min="1035" max="1036" width="7.33203125" style="3" customWidth="1"/>
    <col min="1037" max="1037" width="1.5546875" style="3" customWidth="1"/>
    <col min="1038" max="1038" width="7.88671875" style="3" customWidth="1"/>
    <col min="1039" max="1039" width="8.33203125" style="3" customWidth="1"/>
    <col min="1040" max="1280" width="9.109375" style="3"/>
    <col min="1281" max="1281" width="11.109375" style="3" customWidth="1"/>
    <col min="1282" max="1283" width="0.88671875" style="3" customWidth="1"/>
    <col min="1284" max="1284" width="12.5546875" style="3" customWidth="1"/>
    <col min="1285" max="1285" width="10.109375" style="3" customWidth="1"/>
    <col min="1286" max="1288" width="7.88671875" style="3" customWidth="1"/>
    <col min="1289" max="1289" width="4.44140625" style="3" customWidth="1"/>
    <col min="1290" max="1290" width="4" style="3" customWidth="1"/>
    <col min="1291" max="1292" width="7.33203125" style="3" customWidth="1"/>
    <col min="1293" max="1293" width="1.5546875" style="3" customWidth="1"/>
    <col min="1294" max="1294" width="7.88671875" style="3" customWidth="1"/>
    <col min="1295" max="1295" width="8.33203125" style="3" customWidth="1"/>
    <col min="1296" max="1536" width="9.109375" style="3"/>
    <col min="1537" max="1537" width="11.109375" style="3" customWidth="1"/>
    <col min="1538" max="1539" width="0.88671875" style="3" customWidth="1"/>
    <col min="1540" max="1540" width="12.5546875" style="3" customWidth="1"/>
    <col min="1541" max="1541" width="10.109375" style="3" customWidth="1"/>
    <col min="1542" max="1544" width="7.88671875" style="3" customWidth="1"/>
    <col min="1545" max="1545" width="4.44140625" style="3" customWidth="1"/>
    <col min="1546" max="1546" width="4" style="3" customWidth="1"/>
    <col min="1547" max="1548" width="7.33203125" style="3" customWidth="1"/>
    <col min="1549" max="1549" width="1.5546875" style="3" customWidth="1"/>
    <col min="1550" max="1550" width="7.88671875" style="3" customWidth="1"/>
    <col min="1551" max="1551" width="8.33203125" style="3" customWidth="1"/>
    <col min="1552" max="1792" width="9.109375" style="3"/>
    <col min="1793" max="1793" width="11.109375" style="3" customWidth="1"/>
    <col min="1794" max="1795" width="0.88671875" style="3" customWidth="1"/>
    <col min="1796" max="1796" width="12.5546875" style="3" customWidth="1"/>
    <col min="1797" max="1797" width="10.109375" style="3" customWidth="1"/>
    <col min="1798" max="1800" width="7.88671875" style="3" customWidth="1"/>
    <col min="1801" max="1801" width="4.44140625" style="3" customWidth="1"/>
    <col min="1802" max="1802" width="4" style="3" customWidth="1"/>
    <col min="1803" max="1804" width="7.33203125" style="3" customWidth="1"/>
    <col min="1805" max="1805" width="1.5546875" style="3" customWidth="1"/>
    <col min="1806" max="1806" width="7.88671875" style="3" customWidth="1"/>
    <col min="1807" max="1807" width="8.33203125" style="3" customWidth="1"/>
    <col min="1808" max="2048" width="9.109375" style="3"/>
    <col min="2049" max="2049" width="11.109375" style="3" customWidth="1"/>
    <col min="2050" max="2051" width="0.88671875" style="3" customWidth="1"/>
    <col min="2052" max="2052" width="12.5546875" style="3" customWidth="1"/>
    <col min="2053" max="2053" width="10.109375" style="3" customWidth="1"/>
    <col min="2054" max="2056" width="7.88671875" style="3" customWidth="1"/>
    <col min="2057" max="2057" width="4.44140625" style="3" customWidth="1"/>
    <col min="2058" max="2058" width="4" style="3" customWidth="1"/>
    <col min="2059" max="2060" width="7.33203125" style="3" customWidth="1"/>
    <col min="2061" max="2061" width="1.5546875" style="3" customWidth="1"/>
    <col min="2062" max="2062" width="7.88671875" style="3" customWidth="1"/>
    <col min="2063" max="2063" width="8.33203125" style="3" customWidth="1"/>
    <col min="2064" max="2304" width="9.109375" style="3"/>
    <col min="2305" max="2305" width="11.109375" style="3" customWidth="1"/>
    <col min="2306" max="2307" width="0.88671875" style="3" customWidth="1"/>
    <col min="2308" max="2308" width="12.5546875" style="3" customWidth="1"/>
    <col min="2309" max="2309" width="10.109375" style="3" customWidth="1"/>
    <col min="2310" max="2312" width="7.88671875" style="3" customWidth="1"/>
    <col min="2313" max="2313" width="4.44140625" style="3" customWidth="1"/>
    <col min="2314" max="2314" width="4" style="3" customWidth="1"/>
    <col min="2315" max="2316" width="7.33203125" style="3" customWidth="1"/>
    <col min="2317" max="2317" width="1.5546875" style="3" customWidth="1"/>
    <col min="2318" max="2318" width="7.88671875" style="3" customWidth="1"/>
    <col min="2319" max="2319" width="8.33203125" style="3" customWidth="1"/>
    <col min="2320" max="2560" width="9.109375" style="3"/>
    <col min="2561" max="2561" width="11.109375" style="3" customWidth="1"/>
    <col min="2562" max="2563" width="0.88671875" style="3" customWidth="1"/>
    <col min="2564" max="2564" width="12.5546875" style="3" customWidth="1"/>
    <col min="2565" max="2565" width="10.109375" style="3" customWidth="1"/>
    <col min="2566" max="2568" width="7.88671875" style="3" customWidth="1"/>
    <col min="2569" max="2569" width="4.44140625" style="3" customWidth="1"/>
    <col min="2570" max="2570" width="4" style="3" customWidth="1"/>
    <col min="2571" max="2572" width="7.33203125" style="3" customWidth="1"/>
    <col min="2573" max="2573" width="1.5546875" style="3" customWidth="1"/>
    <col min="2574" max="2574" width="7.88671875" style="3" customWidth="1"/>
    <col min="2575" max="2575" width="8.33203125" style="3" customWidth="1"/>
    <col min="2576" max="2816" width="9.109375" style="3"/>
    <col min="2817" max="2817" width="11.109375" style="3" customWidth="1"/>
    <col min="2818" max="2819" width="0.88671875" style="3" customWidth="1"/>
    <col min="2820" max="2820" width="12.5546875" style="3" customWidth="1"/>
    <col min="2821" max="2821" width="10.109375" style="3" customWidth="1"/>
    <col min="2822" max="2824" width="7.88671875" style="3" customWidth="1"/>
    <col min="2825" max="2825" width="4.44140625" style="3" customWidth="1"/>
    <col min="2826" max="2826" width="4" style="3" customWidth="1"/>
    <col min="2827" max="2828" width="7.33203125" style="3" customWidth="1"/>
    <col min="2829" max="2829" width="1.5546875" style="3" customWidth="1"/>
    <col min="2830" max="2830" width="7.88671875" style="3" customWidth="1"/>
    <col min="2831" max="2831" width="8.33203125" style="3" customWidth="1"/>
    <col min="2832" max="3072" width="9.109375" style="3"/>
    <col min="3073" max="3073" width="11.109375" style="3" customWidth="1"/>
    <col min="3074" max="3075" width="0.88671875" style="3" customWidth="1"/>
    <col min="3076" max="3076" width="12.5546875" style="3" customWidth="1"/>
    <col min="3077" max="3077" width="10.109375" style="3" customWidth="1"/>
    <col min="3078" max="3080" width="7.88671875" style="3" customWidth="1"/>
    <col min="3081" max="3081" width="4.44140625" style="3" customWidth="1"/>
    <col min="3082" max="3082" width="4" style="3" customWidth="1"/>
    <col min="3083" max="3084" width="7.33203125" style="3" customWidth="1"/>
    <col min="3085" max="3085" width="1.5546875" style="3" customWidth="1"/>
    <col min="3086" max="3086" width="7.88671875" style="3" customWidth="1"/>
    <col min="3087" max="3087" width="8.33203125" style="3" customWidth="1"/>
    <col min="3088" max="3328" width="9.109375" style="3"/>
    <col min="3329" max="3329" width="11.109375" style="3" customWidth="1"/>
    <col min="3330" max="3331" width="0.88671875" style="3" customWidth="1"/>
    <col min="3332" max="3332" width="12.5546875" style="3" customWidth="1"/>
    <col min="3333" max="3333" width="10.109375" style="3" customWidth="1"/>
    <col min="3334" max="3336" width="7.88671875" style="3" customWidth="1"/>
    <col min="3337" max="3337" width="4.44140625" style="3" customWidth="1"/>
    <col min="3338" max="3338" width="4" style="3" customWidth="1"/>
    <col min="3339" max="3340" width="7.33203125" style="3" customWidth="1"/>
    <col min="3341" max="3341" width="1.5546875" style="3" customWidth="1"/>
    <col min="3342" max="3342" width="7.88671875" style="3" customWidth="1"/>
    <col min="3343" max="3343" width="8.33203125" style="3" customWidth="1"/>
    <col min="3344" max="3584" width="9.109375" style="3"/>
    <col min="3585" max="3585" width="11.109375" style="3" customWidth="1"/>
    <col min="3586" max="3587" width="0.88671875" style="3" customWidth="1"/>
    <col min="3588" max="3588" width="12.5546875" style="3" customWidth="1"/>
    <col min="3589" max="3589" width="10.109375" style="3" customWidth="1"/>
    <col min="3590" max="3592" width="7.88671875" style="3" customWidth="1"/>
    <col min="3593" max="3593" width="4.44140625" style="3" customWidth="1"/>
    <col min="3594" max="3594" width="4" style="3" customWidth="1"/>
    <col min="3595" max="3596" width="7.33203125" style="3" customWidth="1"/>
    <col min="3597" max="3597" width="1.5546875" style="3" customWidth="1"/>
    <col min="3598" max="3598" width="7.88671875" style="3" customWidth="1"/>
    <col min="3599" max="3599" width="8.33203125" style="3" customWidth="1"/>
    <col min="3600" max="3840" width="9.109375" style="3"/>
    <col min="3841" max="3841" width="11.109375" style="3" customWidth="1"/>
    <col min="3842" max="3843" width="0.88671875" style="3" customWidth="1"/>
    <col min="3844" max="3844" width="12.5546875" style="3" customWidth="1"/>
    <col min="3845" max="3845" width="10.109375" style="3" customWidth="1"/>
    <col min="3846" max="3848" width="7.88671875" style="3" customWidth="1"/>
    <col min="3849" max="3849" width="4.44140625" style="3" customWidth="1"/>
    <col min="3850" max="3850" width="4" style="3" customWidth="1"/>
    <col min="3851" max="3852" width="7.33203125" style="3" customWidth="1"/>
    <col min="3853" max="3853" width="1.5546875" style="3" customWidth="1"/>
    <col min="3854" max="3854" width="7.88671875" style="3" customWidth="1"/>
    <col min="3855" max="3855" width="8.33203125" style="3" customWidth="1"/>
    <col min="3856" max="4096" width="9.109375" style="3"/>
    <col min="4097" max="4097" width="11.109375" style="3" customWidth="1"/>
    <col min="4098" max="4099" width="0.88671875" style="3" customWidth="1"/>
    <col min="4100" max="4100" width="12.5546875" style="3" customWidth="1"/>
    <col min="4101" max="4101" width="10.109375" style="3" customWidth="1"/>
    <col min="4102" max="4104" width="7.88671875" style="3" customWidth="1"/>
    <col min="4105" max="4105" width="4.44140625" style="3" customWidth="1"/>
    <col min="4106" max="4106" width="4" style="3" customWidth="1"/>
    <col min="4107" max="4108" width="7.33203125" style="3" customWidth="1"/>
    <col min="4109" max="4109" width="1.5546875" style="3" customWidth="1"/>
    <col min="4110" max="4110" width="7.88671875" style="3" customWidth="1"/>
    <col min="4111" max="4111" width="8.33203125" style="3" customWidth="1"/>
    <col min="4112" max="4352" width="9.109375" style="3"/>
    <col min="4353" max="4353" width="11.109375" style="3" customWidth="1"/>
    <col min="4354" max="4355" width="0.88671875" style="3" customWidth="1"/>
    <col min="4356" max="4356" width="12.5546875" style="3" customWidth="1"/>
    <col min="4357" max="4357" width="10.109375" style="3" customWidth="1"/>
    <col min="4358" max="4360" width="7.88671875" style="3" customWidth="1"/>
    <col min="4361" max="4361" width="4.44140625" style="3" customWidth="1"/>
    <col min="4362" max="4362" width="4" style="3" customWidth="1"/>
    <col min="4363" max="4364" width="7.33203125" style="3" customWidth="1"/>
    <col min="4365" max="4365" width="1.5546875" style="3" customWidth="1"/>
    <col min="4366" max="4366" width="7.88671875" style="3" customWidth="1"/>
    <col min="4367" max="4367" width="8.33203125" style="3" customWidth="1"/>
    <col min="4368" max="4608" width="9.109375" style="3"/>
    <col min="4609" max="4609" width="11.109375" style="3" customWidth="1"/>
    <col min="4610" max="4611" width="0.88671875" style="3" customWidth="1"/>
    <col min="4612" max="4612" width="12.5546875" style="3" customWidth="1"/>
    <col min="4613" max="4613" width="10.109375" style="3" customWidth="1"/>
    <col min="4614" max="4616" width="7.88671875" style="3" customWidth="1"/>
    <col min="4617" max="4617" width="4.44140625" style="3" customWidth="1"/>
    <col min="4618" max="4618" width="4" style="3" customWidth="1"/>
    <col min="4619" max="4620" width="7.33203125" style="3" customWidth="1"/>
    <col min="4621" max="4621" width="1.5546875" style="3" customWidth="1"/>
    <col min="4622" max="4622" width="7.88671875" style="3" customWidth="1"/>
    <col min="4623" max="4623" width="8.33203125" style="3" customWidth="1"/>
    <col min="4624" max="4864" width="9.109375" style="3"/>
    <col min="4865" max="4865" width="11.109375" style="3" customWidth="1"/>
    <col min="4866" max="4867" width="0.88671875" style="3" customWidth="1"/>
    <col min="4868" max="4868" width="12.5546875" style="3" customWidth="1"/>
    <col min="4869" max="4869" width="10.109375" style="3" customWidth="1"/>
    <col min="4870" max="4872" width="7.88671875" style="3" customWidth="1"/>
    <col min="4873" max="4873" width="4.44140625" style="3" customWidth="1"/>
    <col min="4874" max="4874" width="4" style="3" customWidth="1"/>
    <col min="4875" max="4876" width="7.33203125" style="3" customWidth="1"/>
    <col min="4877" max="4877" width="1.5546875" style="3" customWidth="1"/>
    <col min="4878" max="4878" width="7.88671875" style="3" customWidth="1"/>
    <col min="4879" max="4879" width="8.33203125" style="3" customWidth="1"/>
    <col min="4880" max="5120" width="9.109375" style="3"/>
    <col min="5121" max="5121" width="11.109375" style="3" customWidth="1"/>
    <col min="5122" max="5123" width="0.88671875" style="3" customWidth="1"/>
    <col min="5124" max="5124" width="12.5546875" style="3" customWidth="1"/>
    <col min="5125" max="5125" width="10.109375" style="3" customWidth="1"/>
    <col min="5126" max="5128" width="7.88671875" style="3" customWidth="1"/>
    <col min="5129" max="5129" width="4.44140625" style="3" customWidth="1"/>
    <col min="5130" max="5130" width="4" style="3" customWidth="1"/>
    <col min="5131" max="5132" width="7.33203125" style="3" customWidth="1"/>
    <col min="5133" max="5133" width="1.5546875" style="3" customWidth="1"/>
    <col min="5134" max="5134" width="7.88671875" style="3" customWidth="1"/>
    <col min="5135" max="5135" width="8.33203125" style="3" customWidth="1"/>
    <col min="5136" max="5376" width="9.109375" style="3"/>
    <col min="5377" max="5377" width="11.109375" style="3" customWidth="1"/>
    <col min="5378" max="5379" width="0.88671875" style="3" customWidth="1"/>
    <col min="5380" max="5380" width="12.5546875" style="3" customWidth="1"/>
    <col min="5381" max="5381" width="10.109375" style="3" customWidth="1"/>
    <col min="5382" max="5384" width="7.88671875" style="3" customWidth="1"/>
    <col min="5385" max="5385" width="4.44140625" style="3" customWidth="1"/>
    <col min="5386" max="5386" width="4" style="3" customWidth="1"/>
    <col min="5387" max="5388" width="7.33203125" style="3" customWidth="1"/>
    <col min="5389" max="5389" width="1.5546875" style="3" customWidth="1"/>
    <col min="5390" max="5390" width="7.88671875" style="3" customWidth="1"/>
    <col min="5391" max="5391" width="8.33203125" style="3" customWidth="1"/>
    <col min="5392" max="5632" width="9.109375" style="3"/>
    <col min="5633" max="5633" width="11.109375" style="3" customWidth="1"/>
    <col min="5634" max="5635" width="0.88671875" style="3" customWidth="1"/>
    <col min="5636" max="5636" width="12.5546875" style="3" customWidth="1"/>
    <col min="5637" max="5637" width="10.109375" style="3" customWidth="1"/>
    <col min="5638" max="5640" width="7.88671875" style="3" customWidth="1"/>
    <col min="5641" max="5641" width="4.44140625" style="3" customWidth="1"/>
    <col min="5642" max="5642" width="4" style="3" customWidth="1"/>
    <col min="5643" max="5644" width="7.33203125" style="3" customWidth="1"/>
    <col min="5645" max="5645" width="1.5546875" style="3" customWidth="1"/>
    <col min="5646" max="5646" width="7.88671875" style="3" customWidth="1"/>
    <col min="5647" max="5647" width="8.33203125" style="3" customWidth="1"/>
    <col min="5648" max="5888" width="9.109375" style="3"/>
    <col min="5889" max="5889" width="11.109375" style="3" customWidth="1"/>
    <col min="5890" max="5891" width="0.88671875" style="3" customWidth="1"/>
    <col min="5892" max="5892" width="12.5546875" style="3" customWidth="1"/>
    <col min="5893" max="5893" width="10.109375" style="3" customWidth="1"/>
    <col min="5894" max="5896" width="7.88671875" style="3" customWidth="1"/>
    <col min="5897" max="5897" width="4.44140625" style="3" customWidth="1"/>
    <col min="5898" max="5898" width="4" style="3" customWidth="1"/>
    <col min="5899" max="5900" width="7.33203125" style="3" customWidth="1"/>
    <col min="5901" max="5901" width="1.5546875" style="3" customWidth="1"/>
    <col min="5902" max="5902" width="7.88671875" style="3" customWidth="1"/>
    <col min="5903" max="5903" width="8.33203125" style="3" customWidth="1"/>
    <col min="5904" max="6144" width="9.109375" style="3"/>
    <col min="6145" max="6145" width="11.109375" style="3" customWidth="1"/>
    <col min="6146" max="6147" width="0.88671875" style="3" customWidth="1"/>
    <col min="6148" max="6148" width="12.5546875" style="3" customWidth="1"/>
    <col min="6149" max="6149" width="10.109375" style="3" customWidth="1"/>
    <col min="6150" max="6152" width="7.88671875" style="3" customWidth="1"/>
    <col min="6153" max="6153" width="4.44140625" style="3" customWidth="1"/>
    <col min="6154" max="6154" width="4" style="3" customWidth="1"/>
    <col min="6155" max="6156" width="7.33203125" style="3" customWidth="1"/>
    <col min="6157" max="6157" width="1.5546875" style="3" customWidth="1"/>
    <col min="6158" max="6158" width="7.88671875" style="3" customWidth="1"/>
    <col min="6159" max="6159" width="8.33203125" style="3" customWidth="1"/>
    <col min="6160" max="6400" width="9.109375" style="3"/>
    <col min="6401" max="6401" width="11.109375" style="3" customWidth="1"/>
    <col min="6402" max="6403" width="0.88671875" style="3" customWidth="1"/>
    <col min="6404" max="6404" width="12.5546875" style="3" customWidth="1"/>
    <col min="6405" max="6405" width="10.109375" style="3" customWidth="1"/>
    <col min="6406" max="6408" width="7.88671875" style="3" customWidth="1"/>
    <col min="6409" max="6409" width="4.44140625" style="3" customWidth="1"/>
    <col min="6410" max="6410" width="4" style="3" customWidth="1"/>
    <col min="6411" max="6412" width="7.33203125" style="3" customWidth="1"/>
    <col min="6413" max="6413" width="1.5546875" style="3" customWidth="1"/>
    <col min="6414" max="6414" width="7.88671875" style="3" customWidth="1"/>
    <col min="6415" max="6415" width="8.33203125" style="3" customWidth="1"/>
    <col min="6416" max="6656" width="9.109375" style="3"/>
    <col min="6657" max="6657" width="11.109375" style="3" customWidth="1"/>
    <col min="6658" max="6659" width="0.88671875" style="3" customWidth="1"/>
    <col min="6660" max="6660" width="12.5546875" style="3" customWidth="1"/>
    <col min="6661" max="6661" width="10.109375" style="3" customWidth="1"/>
    <col min="6662" max="6664" width="7.88671875" style="3" customWidth="1"/>
    <col min="6665" max="6665" width="4.44140625" style="3" customWidth="1"/>
    <col min="6666" max="6666" width="4" style="3" customWidth="1"/>
    <col min="6667" max="6668" width="7.33203125" style="3" customWidth="1"/>
    <col min="6669" max="6669" width="1.5546875" style="3" customWidth="1"/>
    <col min="6670" max="6670" width="7.88671875" style="3" customWidth="1"/>
    <col min="6671" max="6671" width="8.33203125" style="3" customWidth="1"/>
    <col min="6672" max="6912" width="9.109375" style="3"/>
    <col min="6913" max="6913" width="11.109375" style="3" customWidth="1"/>
    <col min="6914" max="6915" width="0.88671875" style="3" customWidth="1"/>
    <col min="6916" max="6916" width="12.5546875" style="3" customWidth="1"/>
    <col min="6917" max="6917" width="10.109375" style="3" customWidth="1"/>
    <col min="6918" max="6920" width="7.88671875" style="3" customWidth="1"/>
    <col min="6921" max="6921" width="4.44140625" style="3" customWidth="1"/>
    <col min="6922" max="6922" width="4" style="3" customWidth="1"/>
    <col min="6923" max="6924" width="7.33203125" style="3" customWidth="1"/>
    <col min="6925" max="6925" width="1.5546875" style="3" customWidth="1"/>
    <col min="6926" max="6926" width="7.88671875" style="3" customWidth="1"/>
    <col min="6927" max="6927" width="8.33203125" style="3" customWidth="1"/>
    <col min="6928" max="7168" width="9.109375" style="3"/>
    <col min="7169" max="7169" width="11.109375" style="3" customWidth="1"/>
    <col min="7170" max="7171" width="0.88671875" style="3" customWidth="1"/>
    <col min="7172" max="7172" width="12.5546875" style="3" customWidth="1"/>
    <col min="7173" max="7173" width="10.109375" style="3" customWidth="1"/>
    <col min="7174" max="7176" width="7.88671875" style="3" customWidth="1"/>
    <col min="7177" max="7177" width="4.44140625" style="3" customWidth="1"/>
    <col min="7178" max="7178" width="4" style="3" customWidth="1"/>
    <col min="7179" max="7180" width="7.33203125" style="3" customWidth="1"/>
    <col min="7181" max="7181" width="1.5546875" style="3" customWidth="1"/>
    <col min="7182" max="7182" width="7.88671875" style="3" customWidth="1"/>
    <col min="7183" max="7183" width="8.33203125" style="3" customWidth="1"/>
    <col min="7184" max="7424" width="9.109375" style="3"/>
    <col min="7425" max="7425" width="11.109375" style="3" customWidth="1"/>
    <col min="7426" max="7427" width="0.88671875" style="3" customWidth="1"/>
    <col min="7428" max="7428" width="12.5546875" style="3" customWidth="1"/>
    <col min="7429" max="7429" width="10.109375" style="3" customWidth="1"/>
    <col min="7430" max="7432" width="7.88671875" style="3" customWidth="1"/>
    <col min="7433" max="7433" width="4.44140625" style="3" customWidth="1"/>
    <col min="7434" max="7434" width="4" style="3" customWidth="1"/>
    <col min="7435" max="7436" width="7.33203125" style="3" customWidth="1"/>
    <col min="7437" max="7437" width="1.5546875" style="3" customWidth="1"/>
    <col min="7438" max="7438" width="7.88671875" style="3" customWidth="1"/>
    <col min="7439" max="7439" width="8.33203125" style="3" customWidth="1"/>
    <col min="7440" max="7680" width="9.109375" style="3"/>
    <col min="7681" max="7681" width="11.109375" style="3" customWidth="1"/>
    <col min="7682" max="7683" width="0.88671875" style="3" customWidth="1"/>
    <col min="7684" max="7684" width="12.5546875" style="3" customWidth="1"/>
    <col min="7685" max="7685" width="10.109375" style="3" customWidth="1"/>
    <col min="7686" max="7688" width="7.88671875" style="3" customWidth="1"/>
    <col min="7689" max="7689" width="4.44140625" style="3" customWidth="1"/>
    <col min="7690" max="7690" width="4" style="3" customWidth="1"/>
    <col min="7691" max="7692" width="7.33203125" style="3" customWidth="1"/>
    <col min="7693" max="7693" width="1.5546875" style="3" customWidth="1"/>
    <col min="7694" max="7694" width="7.88671875" style="3" customWidth="1"/>
    <col min="7695" max="7695" width="8.33203125" style="3" customWidth="1"/>
    <col min="7696" max="7936" width="9.109375" style="3"/>
    <col min="7937" max="7937" width="11.109375" style="3" customWidth="1"/>
    <col min="7938" max="7939" width="0.88671875" style="3" customWidth="1"/>
    <col min="7940" max="7940" width="12.5546875" style="3" customWidth="1"/>
    <col min="7941" max="7941" width="10.109375" style="3" customWidth="1"/>
    <col min="7942" max="7944" width="7.88671875" style="3" customWidth="1"/>
    <col min="7945" max="7945" width="4.44140625" style="3" customWidth="1"/>
    <col min="7946" max="7946" width="4" style="3" customWidth="1"/>
    <col min="7947" max="7948" width="7.33203125" style="3" customWidth="1"/>
    <col min="7949" max="7949" width="1.5546875" style="3" customWidth="1"/>
    <col min="7950" max="7950" width="7.88671875" style="3" customWidth="1"/>
    <col min="7951" max="7951" width="8.33203125" style="3" customWidth="1"/>
    <col min="7952" max="8192" width="9.109375" style="3"/>
    <col min="8193" max="8193" width="11.109375" style="3" customWidth="1"/>
    <col min="8194" max="8195" width="0.88671875" style="3" customWidth="1"/>
    <col min="8196" max="8196" width="12.5546875" style="3" customWidth="1"/>
    <col min="8197" max="8197" width="10.109375" style="3" customWidth="1"/>
    <col min="8198" max="8200" width="7.88671875" style="3" customWidth="1"/>
    <col min="8201" max="8201" width="4.44140625" style="3" customWidth="1"/>
    <col min="8202" max="8202" width="4" style="3" customWidth="1"/>
    <col min="8203" max="8204" width="7.33203125" style="3" customWidth="1"/>
    <col min="8205" max="8205" width="1.5546875" style="3" customWidth="1"/>
    <col min="8206" max="8206" width="7.88671875" style="3" customWidth="1"/>
    <col min="8207" max="8207" width="8.33203125" style="3" customWidth="1"/>
    <col min="8208" max="8448" width="9.109375" style="3"/>
    <col min="8449" max="8449" width="11.109375" style="3" customWidth="1"/>
    <col min="8450" max="8451" width="0.88671875" style="3" customWidth="1"/>
    <col min="8452" max="8452" width="12.5546875" style="3" customWidth="1"/>
    <col min="8453" max="8453" width="10.109375" style="3" customWidth="1"/>
    <col min="8454" max="8456" width="7.88671875" style="3" customWidth="1"/>
    <col min="8457" max="8457" width="4.44140625" style="3" customWidth="1"/>
    <col min="8458" max="8458" width="4" style="3" customWidth="1"/>
    <col min="8459" max="8460" width="7.33203125" style="3" customWidth="1"/>
    <col min="8461" max="8461" width="1.5546875" style="3" customWidth="1"/>
    <col min="8462" max="8462" width="7.88671875" style="3" customWidth="1"/>
    <col min="8463" max="8463" width="8.33203125" style="3" customWidth="1"/>
    <col min="8464" max="8704" width="9.109375" style="3"/>
    <col min="8705" max="8705" width="11.109375" style="3" customWidth="1"/>
    <col min="8706" max="8707" width="0.88671875" style="3" customWidth="1"/>
    <col min="8708" max="8708" width="12.5546875" style="3" customWidth="1"/>
    <col min="8709" max="8709" width="10.109375" style="3" customWidth="1"/>
    <col min="8710" max="8712" width="7.88671875" style="3" customWidth="1"/>
    <col min="8713" max="8713" width="4.44140625" style="3" customWidth="1"/>
    <col min="8714" max="8714" width="4" style="3" customWidth="1"/>
    <col min="8715" max="8716" width="7.33203125" style="3" customWidth="1"/>
    <col min="8717" max="8717" width="1.5546875" style="3" customWidth="1"/>
    <col min="8718" max="8718" width="7.88671875" style="3" customWidth="1"/>
    <col min="8719" max="8719" width="8.33203125" style="3" customWidth="1"/>
    <col min="8720" max="8960" width="9.109375" style="3"/>
    <col min="8961" max="8961" width="11.109375" style="3" customWidth="1"/>
    <col min="8962" max="8963" width="0.88671875" style="3" customWidth="1"/>
    <col min="8964" max="8964" width="12.5546875" style="3" customWidth="1"/>
    <col min="8965" max="8965" width="10.109375" style="3" customWidth="1"/>
    <col min="8966" max="8968" width="7.88671875" style="3" customWidth="1"/>
    <col min="8969" max="8969" width="4.44140625" style="3" customWidth="1"/>
    <col min="8970" max="8970" width="4" style="3" customWidth="1"/>
    <col min="8971" max="8972" width="7.33203125" style="3" customWidth="1"/>
    <col min="8973" max="8973" width="1.5546875" style="3" customWidth="1"/>
    <col min="8974" max="8974" width="7.88671875" style="3" customWidth="1"/>
    <col min="8975" max="8975" width="8.33203125" style="3" customWidth="1"/>
    <col min="8976" max="9216" width="9.109375" style="3"/>
    <col min="9217" max="9217" width="11.109375" style="3" customWidth="1"/>
    <col min="9218" max="9219" width="0.88671875" style="3" customWidth="1"/>
    <col min="9220" max="9220" width="12.5546875" style="3" customWidth="1"/>
    <col min="9221" max="9221" width="10.109375" style="3" customWidth="1"/>
    <col min="9222" max="9224" width="7.88671875" style="3" customWidth="1"/>
    <col min="9225" max="9225" width="4.44140625" style="3" customWidth="1"/>
    <col min="9226" max="9226" width="4" style="3" customWidth="1"/>
    <col min="9227" max="9228" width="7.33203125" style="3" customWidth="1"/>
    <col min="9229" max="9229" width="1.5546875" style="3" customWidth="1"/>
    <col min="9230" max="9230" width="7.88671875" style="3" customWidth="1"/>
    <col min="9231" max="9231" width="8.33203125" style="3" customWidth="1"/>
    <col min="9232" max="9472" width="9.109375" style="3"/>
    <col min="9473" max="9473" width="11.109375" style="3" customWidth="1"/>
    <col min="9474" max="9475" width="0.88671875" style="3" customWidth="1"/>
    <col min="9476" max="9476" width="12.5546875" style="3" customWidth="1"/>
    <col min="9477" max="9477" width="10.109375" style="3" customWidth="1"/>
    <col min="9478" max="9480" width="7.88671875" style="3" customWidth="1"/>
    <col min="9481" max="9481" width="4.44140625" style="3" customWidth="1"/>
    <col min="9482" max="9482" width="4" style="3" customWidth="1"/>
    <col min="9483" max="9484" width="7.33203125" style="3" customWidth="1"/>
    <col min="9485" max="9485" width="1.5546875" style="3" customWidth="1"/>
    <col min="9486" max="9486" width="7.88671875" style="3" customWidth="1"/>
    <col min="9487" max="9487" width="8.33203125" style="3" customWidth="1"/>
    <col min="9488" max="9728" width="9.109375" style="3"/>
    <col min="9729" max="9729" width="11.109375" style="3" customWidth="1"/>
    <col min="9730" max="9731" width="0.88671875" style="3" customWidth="1"/>
    <col min="9732" max="9732" width="12.5546875" style="3" customWidth="1"/>
    <col min="9733" max="9733" width="10.109375" style="3" customWidth="1"/>
    <col min="9734" max="9736" width="7.88671875" style="3" customWidth="1"/>
    <col min="9737" max="9737" width="4.44140625" style="3" customWidth="1"/>
    <col min="9738" max="9738" width="4" style="3" customWidth="1"/>
    <col min="9739" max="9740" width="7.33203125" style="3" customWidth="1"/>
    <col min="9741" max="9741" width="1.5546875" style="3" customWidth="1"/>
    <col min="9742" max="9742" width="7.88671875" style="3" customWidth="1"/>
    <col min="9743" max="9743" width="8.33203125" style="3" customWidth="1"/>
    <col min="9744" max="9984" width="9.109375" style="3"/>
    <col min="9985" max="9985" width="11.109375" style="3" customWidth="1"/>
    <col min="9986" max="9987" width="0.88671875" style="3" customWidth="1"/>
    <col min="9988" max="9988" width="12.5546875" style="3" customWidth="1"/>
    <col min="9989" max="9989" width="10.109375" style="3" customWidth="1"/>
    <col min="9990" max="9992" width="7.88671875" style="3" customWidth="1"/>
    <col min="9993" max="9993" width="4.44140625" style="3" customWidth="1"/>
    <col min="9994" max="9994" width="4" style="3" customWidth="1"/>
    <col min="9995" max="9996" width="7.33203125" style="3" customWidth="1"/>
    <col min="9997" max="9997" width="1.5546875" style="3" customWidth="1"/>
    <col min="9998" max="9998" width="7.88671875" style="3" customWidth="1"/>
    <col min="9999" max="9999" width="8.33203125" style="3" customWidth="1"/>
    <col min="10000" max="10240" width="9.109375" style="3"/>
    <col min="10241" max="10241" width="11.109375" style="3" customWidth="1"/>
    <col min="10242" max="10243" width="0.88671875" style="3" customWidth="1"/>
    <col min="10244" max="10244" width="12.5546875" style="3" customWidth="1"/>
    <col min="10245" max="10245" width="10.109375" style="3" customWidth="1"/>
    <col min="10246" max="10248" width="7.88671875" style="3" customWidth="1"/>
    <col min="10249" max="10249" width="4.44140625" style="3" customWidth="1"/>
    <col min="10250" max="10250" width="4" style="3" customWidth="1"/>
    <col min="10251" max="10252" width="7.33203125" style="3" customWidth="1"/>
    <col min="10253" max="10253" width="1.5546875" style="3" customWidth="1"/>
    <col min="10254" max="10254" width="7.88671875" style="3" customWidth="1"/>
    <col min="10255" max="10255" width="8.33203125" style="3" customWidth="1"/>
    <col min="10256" max="10496" width="9.109375" style="3"/>
    <col min="10497" max="10497" width="11.109375" style="3" customWidth="1"/>
    <col min="10498" max="10499" width="0.88671875" style="3" customWidth="1"/>
    <col min="10500" max="10500" width="12.5546875" style="3" customWidth="1"/>
    <col min="10501" max="10501" width="10.109375" style="3" customWidth="1"/>
    <col min="10502" max="10504" width="7.88671875" style="3" customWidth="1"/>
    <col min="10505" max="10505" width="4.44140625" style="3" customWidth="1"/>
    <col min="10506" max="10506" width="4" style="3" customWidth="1"/>
    <col min="10507" max="10508" width="7.33203125" style="3" customWidth="1"/>
    <col min="10509" max="10509" width="1.5546875" style="3" customWidth="1"/>
    <col min="10510" max="10510" width="7.88671875" style="3" customWidth="1"/>
    <col min="10511" max="10511" width="8.33203125" style="3" customWidth="1"/>
    <col min="10512" max="10752" width="9.109375" style="3"/>
    <col min="10753" max="10753" width="11.109375" style="3" customWidth="1"/>
    <col min="10754" max="10755" width="0.88671875" style="3" customWidth="1"/>
    <col min="10756" max="10756" width="12.5546875" style="3" customWidth="1"/>
    <col min="10757" max="10757" width="10.109375" style="3" customWidth="1"/>
    <col min="10758" max="10760" width="7.88671875" style="3" customWidth="1"/>
    <col min="10761" max="10761" width="4.44140625" style="3" customWidth="1"/>
    <col min="10762" max="10762" width="4" style="3" customWidth="1"/>
    <col min="10763" max="10764" width="7.33203125" style="3" customWidth="1"/>
    <col min="10765" max="10765" width="1.5546875" style="3" customWidth="1"/>
    <col min="10766" max="10766" width="7.88671875" style="3" customWidth="1"/>
    <col min="10767" max="10767" width="8.33203125" style="3" customWidth="1"/>
    <col min="10768" max="11008" width="9.109375" style="3"/>
    <col min="11009" max="11009" width="11.109375" style="3" customWidth="1"/>
    <col min="11010" max="11011" width="0.88671875" style="3" customWidth="1"/>
    <col min="11012" max="11012" width="12.5546875" style="3" customWidth="1"/>
    <col min="11013" max="11013" width="10.109375" style="3" customWidth="1"/>
    <col min="11014" max="11016" width="7.88671875" style="3" customWidth="1"/>
    <col min="11017" max="11017" width="4.44140625" style="3" customWidth="1"/>
    <col min="11018" max="11018" width="4" style="3" customWidth="1"/>
    <col min="11019" max="11020" width="7.33203125" style="3" customWidth="1"/>
    <col min="11021" max="11021" width="1.5546875" style="3" customWidth="1"/>
    <col min="11022" max="11022" width="7.88671875" style="3" customWidth="1"/>
    <col min="11023" max="11023" width="8.33203125" style="3" customWidth="1"/>
    <col min="11024" max="11264" width="9.109375" style="3"/>
    <col min="11265" max="11265" width="11.109375" style="3" customWidth="1"/>
    <col min="11266" max="11267" width="0.88671875" style="3" customWidth="1"/>
    <col min="11268" max="11268" width="12.5546875" style="3" customWidth="1"/>
    <col min="11269" max="11269" width="10.109375" style="3" customWidth="1"/>
    <col min="11270" max="11272" width="7.88671875" style="3" customWidth="1"/>
    <col min="11273" max="11273" width="4.44140625" style="3" customWidth="1"/>
    <col min="11274" max="11274" width="4" style="3" customWidth="1"/>
    <col min="11275" max="11276" width="7.33203125" style="3" customWidth="1"/>
    <col min="11277" max="11277" width="1.5546875" style="3" customWidth="1"/>
    <col min="11278" max="11278" width="7.88671875" style="3" customWidth="1"/>
    <col min="11279" max="11279" width="8.33203125" style="3" customWidth="1"/>
    <col min="11280" max="11520" width="9.109375" style="3"/>
    <col min="11521" max="11521" width="11.109375" style="3" customWidth="1"/>
    <col min="11522" max="11523" width="0.88671875" style="3" customWidth="1"/>
    <col min="11524" max="11524" width="12.5546875" style="3" customWidth="1"/>
    <col min="11525" max="11525" width="10.109375" style="3" customWidth="1"/>
    <col min="11526" max="11528" width="7.88671875" style="3" customWidth="1"/>
    <col min="11529" max="11529" width="4.44140625" style="3" customWidth="1"/>
    <col min="11530" max="11530" width="4" style="3" customWidth="1"/>
    <col min="11531" max="11532" width="7.33203125" style="3" customWidth="1"/>
    <col min="11533" max="11533" width="1.5546875" style="3" customWidth="1"/>
    <col min="11534" max="11534" width="7.88671875" style="3" customWidth="1"/>
    <col min="11535" max="11535" width="8.33203125" style="3" customWidth="1"/>
    <col min="11536" max="11776" width="9.109375" style="3"/>
    <col min="11777" max="11777" width="11.109375" style="3" customWidth="1"/>
    <col min="11778" max="11779" width="0.88671875" style="3" customWidth="1"/>
    <col min="11780" max="11780" width="12.5546875" style="3" customWidth="1"/>
    <col min="11781" max="11781" width="10.109375" style="3" customWidth="1"/>
    <col min="11782" max="11784" width="7.88671875" style="3" customWidth="1"/>
    <col min="11785" max="11785" width="4.44140625" style="3" customWidth="1"/>
    <col min="11786" max="11786" width="4" style="3" customWidth="1"/>
    <col min="11787" max="11788" width="7.33203125" style="3" customWidth="1"/>
    <col min="11789" max="11789" width="1.5546875" style="3" customWidth="1"/>
    <col min="11790" max="11790" width="7.88671875" style="3" customWidth="1"/>
    <col min="11791" max="11791" width="8.33203125" style="3" customWidth="1"/>
    <col min="11792" max="12032" width="9.109375" style="3"/>
    <col min="12033" max="12033" width="11.109375" style="3" customWidth="1"/>
    <col min="12034" max="12035" width="0.88671875" style="3" customWidth="1"/>
    <col min="12036" max="12036" width="12.5546875" style="3" customWidth="1"/>
    <col min="12037" max="12037" width="10.109375" style="3" customWidth="1"/>
    <col min="12038" max="12040" width="7.88671875" style="3" customWidth="1"/>
    <col min="12041" max="12041" width="4.44140625" style="3" customWidth="1"/>
    <col min="12042" max="12042" width="4" style="3" customWidth="1"/>
    <col min="12043" max="12044" width="7.33203125" style="3" customWidth="1"/>
    <col min="12045" max="12045" width="1.5546875" style="3" customWidth="1"/>
    <col min="12046" max="12046" width="7.88671875" style="3" customWidth="1"/>
    <col min="12047" max="12047" width="8.33203125" style="3" customWidth="1"/>
    <col min="12048" max="12288" width="9.109375" style="3"/>
    <col min="12289" max="12289" width="11.109375" style="3" customWidth="1"/>
    <col min="12290" max="12291" width="0.88671875" style="3" customWidth="1"/>
    <col min="12292" max="12292" width="12.5546875" style="3" customWidth="1"/>
    <col min="12293" max="12293" width="10.109375" style="3" customWidth="1"/>
    <col min="12294" max="12296" width="7.88671875" style="3" customWidth="1"/>
    <col min="12297" max="12297" width="4.44140625" style="3" customWidth="1"/>
    <col min="12298" max="12298" width="4" style="3" customWidth="1"/>
    <col min="12299" max="12300" width="7.33203125" style="3" customWidth="1"/>
    <col min="12301" max="12301" width="1.5546875" style="3" customWidth="1"/>
    <col min="12302" max="12302" width="7.88671875" style="3" customWidth="1"/>
    <col min="12303" max="12303" width="8.33203125" style="3" customWidth="1"/>
    <col min="12304" max="12544" width="9.109375" style="3"/>
    <col min="12545" max="12545" width="11.109375" style="3" customWidth="1"/>
    <col min="12546" max="12547" width="0.88671875" style="3" customWidth="1"/>
    <col min="12548" max="12548" width="12.5546875" style="3" customWidth="1"/>
    <col min="12549" max="12549" width="10.109375" style="3" customWidth="1"/>
    <col min="12550" max="12552" width="7.88671875" style="3" customWidth="1"/>
    <col min="12553" max="12553" width="4.44140625" style="3" customWidth="1"/>
    <col min="12554" max="12554" width="4" style="3" customWidth="1"/>
    <col min="12555" max="12556" width="7.33203125" style="3" customWidth="1"/>
    <col min="12557" max="12557" width="1.5546875" style="3" customWidth="1"/>
    <col min="12558" max="12558" width="7.88671875" style="3" customWidth="1"/>
    <col min="12559" max="12559" width="8.33203125" style="3" customWidth="1"/>
    <col min="12560" max="12800" width="9.109375" style="3"/>
    <col min="12801" max="12801" width="11.109375" style="3" customWidth="1"/>
    <col min="12802" max="12803" width="0.88671875" style="3" customWidth="1"/>
    <col min="12804" max="12804" width="12.5546875" style="3" customWidth="1"/>
    <col min="12805" max="12805" width="10.109375" style="3" customWidth="1"/>
    <col min="12806" max="12808" width="7.88671875" style="3" customWidth="1"/>
    <col min="12809" max="12809" width="4.44140625" style="3" customWidth="1"/>
    <col min="12810" max="12810" width="4" style="3" customWidth="1"/>
    <col min="12811" max="12812" width="7.33203125" style="3" customWidth="1"/>
    <col min="12813" max="12813" width="1.5546875" style="3" customWidth="1"/>
    <col min="12814" max="12814" width="7.88671875" style="3" customWidth="1"/>
    <col min="12815" max="12815" width="8.33203125" style="3" customWidth="1"/>
    <col min="12816" max="13056" width="9.109375" style="3"/>
    <col min="13057" max="13057" width="11.109375" style="3" customWidth="1"/>
    <col min="13058" max="13059" width="0.88671875" style="3" customWidth="1"/>
    <col min="13060" max="13060" width="12.5546875" style="3" customWidth="1"/>
    <col min="13061" max="13061" width="10.109375" style="3" customWidth="1"/>
    <col min="13062" max="13064" width="7.88671875" style="3" customWidth="1"/>
    <col min="13065" max="13065" width="4.44140625" style="3" customWidth="1"/>
    <col min="13066" max="13066" width="4" style="3" customWidth="1"/>
    <col min="13067" max="13068" width="7.33203125" style="3" customWidth="1"/>
    <col min="13069" max="13069" width="1.5546875" style="3" customWidth="1"/>
    <col min="13070" max="13070" width="7.88671875" style="3" customWidth="1"/>
    <col min="13071" max="13071" width="8.33203125" style="3" customWidth="1"/>
    <col min="13072" max="13312" width="9.109375" style="3"/>
    <col min="13313" max="13313" width="11.109375" style="3" customWidth="1"/>
    <col min="13314" max="13315" width="0.88671875" style="3" customWidth="1"/>
    <col min="13316" max="13316" width="12.5546875" style="3" customWidth="1"/>
    <col min="13317" max="13317" width="10.109375" style="3" customWidth="1"/>
    <col min="13318" max="13320" width="7.88671875" style="3" customWidth="1"/>
    <col min="13321" max="13321" width="4.44140625" style="3" customWidth="1"/>
    <col min="13322" max="13322" width="4" style="3" customWidth="1"/>
    <col min="13323" max="13324" width="7.33203125" style="3" customWidth="1"/>
    <col min="13325" max="13325" width="1.5546875" style="3" customWidth="1"/>
    <col min="13326" max="13326" width="7.88671875" style="3" customWidth="1"/>
    <col min="13327" max="13327" width="8.33203125" style="3" customWidth="1"/>
    <col min="13328" max="13568" width="9.109375" style="3"/>
    <col min="13569" max="13569" width="11.109375" style="3" customWidth="1"/>
    <col min="13570" max="13571" width="0.88671875" style="3" customWidth="1"/>
    <col min="13572" max="13572" width="12.5546875" style="3" customWidth="1"/>
    <col min="13573" max="13573" width="10.109375" style="3" customWidth="1"/>
    <col min="13574" max="13576" width="7.88671875" style="3" customWidth="1"/>
    <col min="13577" max="13577" width="4.44140625" style="3" customWidth="1"/>
    <col min="13578" max="13578" width="4" style="3" customWidth="1"/>
    <col min="13579" max="13580" width="7.33203125" style="3" customWidth="1"/>
    <col min="13581" max="13581" width="1.5546875" style="3" customWidth="1"/>
    <col min="13582" max="13582" width="7.88671875" style="3" customWidth="1"/>
    <col min="13583" max="13583" width="8.33203125" style="3" customWidth="1"/>
    <col min="13584" max="13824" width="9.109375" style="3"/>
    <col min="13825" max="13825" width="11.109375" style="3" customWidth="1"/>
    <col min="13826" max="13827" width="0.88671875" style="3" customWidth="1"/>
    <col min="13828" max="13828" width="12.5546875" style="3" customWidth="1"/>
    <col min="13829" max="13829" width="10.109375" style="3" customWidth="1"/>
    <col min="13830" max="13832" width="7.88671875" style="3" customWidth="1"/>
    <col min="13833" max="13833" width="4.44140625" style="3" customWidth="1"/>
    <col min="13834" max="13834" width="4" style="3" customWidth="1"/>
    <col min="13835" max="13836" width="7.33203125" style="3" customWidth="1"/>
    <col min="13837" max="13837" width="1.5546875" style="3" customWidth="1"/>
    <col min="13838" max="13838" width="7.88671875" style="3" customWidth="1"/>
    <col min="13839" max="13839" width="8.33203125" style="3" customWidth="1"/>
    <col min="13840" max="14080" width="9.109375" style="3"/>
    <col min="14081" max="14081" width="11.109375" style="3" customWidth="1"/>
    <col min="14082" max="14083" width="0.88671875" style="3" customWidth="1"/>
    <col min="14084" max="14084" width="12.5546875" style="3" customWidth="1"/>
    <col min="14085" max="14085" width="10.109375" style="3" customWidth="1"/>
    <col min="14086" max="14088" width="7.88671875" style="3" customWidth="1"/>
    <col min="14089" max="14089" width="4.44140625" style="3" customWidth="1"/>
    <col min="14090" max="14090" width="4" style="3" customWidth="1"/>
    <col min="14091" max="14092" width="7.33203125" style="3" customWidth="1"/>
    <col min="14093" max="14093" width="1.5546875" style="3" customWidth="1"/>
    <col min="14094" max="14094" width="7.88671875" style="3" customWidth="1"/>
    <col min="14095" max="14095" width="8.33203125" style="3" customWidth="1"/>
    <col min="14096" max="14336" width="9.109375" style="3"/>
    <col min="14337" max="14337" width="11.109375" style="3" customWidth="1"/>
    <col min="14338" max="14339" width="0.88671875" style="3" customWidth="1"/>
    <col min="14340" max="14340" width="12.5546875" style="3" customWidth="1"/>
    <col min="14341" max="14341" width="10.109375" style="3" customWidth="1"/>
    <col min="14342" max="14344" width="7.88671875" style="3" customWidth="1"/>
    <col min="14345" max="14345" width="4.44140625" style="3" customWidth="1"/>
    <col min="14346" max="14346" width="4" style="3" customWidth="1"/>
    <col min="14347" max="14348" width="7.33203125" style="3" customWidth="1"/>
    <col min="14349" max="14349" width="1.5546875" style="3" customWidth="1"/>
    <col min="14350" max="14350" width="7.88671875" style="3" customWidth="1"/>
    <col min="14351" max="14351" width="8.33203125" style="3" customWidth="1"/>
    <col min="14352" max="14592" width="9.109375" style="3"/>
    <col min="14593" max="14593" width="11.109375" style="3" customWidth="1"/>
    <col min="14594" max="14595" width="0.88671875" style="3" customWidth="1"/>
    <col min="14596" max="14596" width="12.5546875" style="3" customWidth="1"/>
    <col min="14597" max="14597" width="10.109375" style="3" customWidth="1"/>
    <col min="14598" max="14600" width="7.88671875" style="3" customWidth="1"/>
    <col min="14601" max="14601" width="4.44140625" style="3" customWidth="1"/>
    <col min="14602" max="14602" width="4" style="3" customWidth="1"/>
    <col min="14603" max="14604" width="7.33203125" style="3" customWidth="1"/>
    <col min="14605" max="14605" width="1.5546875" style="3" customWidth="1"/>
    <col min="14606" max="14606" width="7.88671875" style="3" customWidth="1"/>
    <col min="14607" max="14607" width="8.33203125" style="3" customWidth="1"/>
    <col min="14608" max="14848" width="9.109375" style="3"/>
    <col min="14849" max="14849" width="11.109375" style="3" customWidth="1"/>
    <col min="14850" max="14851" width="0.88671875" style="3" customWidth="1"/>
    <col min="14852" max="14852" width="12.5546875" style="3" customWidth="1"/>
    <col min="14853" max="14853" width="10.109375" style="3" customWidth="1"/>
    <col min="14854" max="14856" width="7.88671875" style="3" customWidth="1"/>
    <col min="14857" max="14857" width="4.44140625" style="3" customWidth="1"/>
    <col min="14858" max="14858" width="4" style="3" customWidth="1"/>
    <col min="14859" max="14860" width="7.33203125" style="3" customWidth="1"/>
    <col min="14861" max="14861" width="1.5546875" style="3" customWidth="1"/>
    <col min="14862" max="14862" width="7.88671875" style="3" customWidth="1"/>
    <col min="14863" max="14863" width="8.33203125" style="3" customWidth="1"/>
    <col min="14864" max="15104" width="9.109375" style="3"/>
    <col min="15105" max="15105" width="11.109375" style="3" customWidth="1"/>
    <col min="15106" max="15107" width="0.88671875" style="3" customWidth="1"/>
    <col min="15108" max="15108" width="12.5546875" style="3" customWidth="1"/>
    <col min="15109" max="15109" width="10.109375" style="3" customWidth="1"/>
    <col min="15110" max="15112" width="7.88671875" style="3" customWidth="1"/>
    <col min="15113" max="15113" width="4.44140625" style="3" customWidth="1"/>
    <col min="15114" max="15114" width="4" style="3" customWidth="1"/>
    <col min="15115" max="15116" width="7.33203125" style="3" customWidth="1"/>
    <col min="15117" max="15117" width="1.5546875" style="3" customWidth="1"/>
    <col min="15118" max="15118" width="7.88671875" style="3" customWidth="1"/>
    <col min="15119" max="15119" width="8.33203125" style="3" customWidth="1"/>
    <col min="15120" max="15360" width="9.109375" style="3"/>
    <col min="15361" max="15361" width="11.109375" style="3" customWidth="1"/>
    <col min="15362" max="15363" width="0.88671875" style="3" customWidth="1"/>
    <col min="15364" max="15364" width="12.5546875" style="3" customWidth="1"/>
    <col min="15365" max="15365" width="10.109375" style="3" customWidth="1"/>
    <col min="15366" max="15368" width="7.88671875" style="3" customWidth="1"/>
    <col min="15369" max="15369" width="4.44140625" style="3" customWidth="1"/>
    <col min="15370" max="15370" width="4" style="3" customWidth="1"/>
    <col min="15371" max="15372" width="7.33203125" style="3" customWidth="1"/>
    <col min="15373" max="15373" width="1.5546875" style="3" customWidth="1"/>
    <col min="15374" max="15374" width="7.88671875" style="3" customWidth="1"/>
    <col min="15375" max="15375" width="8.33203125" style="3" customWidth="1"/>
    <col min="15376" max="15616" width="9.109375" style="3"/>
    <col min="15617" max="15617" width="11.109375" style="3" customWidth="1"/>
    <col min="15618" max="15619" width="0.88671875" style="3" customWidth="1"/>
    <col min="15620" max="15620" width="12.5546875" style="3" customWidth="1"/>
    <col min="15621" max="15621" width="10.109375" style="3" customWidth="1"/>
    <col min="15622" max="15624" width="7.88671875" style="3" customWidth="1"/>
    <col min="15625" max="15625" width="4.44140625" style="3" customWidth="1"/>
    <col min="15626" max="15626" width="4" style="3" customWidth="1"/>
    <col min="15627" max="15628" width="7.33203125" style="3" customWidth="1"/>
    <col min="15629" max="15629" width="1.5546875" style="3" customWidth="1"/>
    <col min="15630" max="15630" width="7.88671875" style="3" customWidth="1"/>
    <col min="15631" max="15631" width="8.33203125" style="3" customWidth="1"/>
    <col min="15632" max="15872" width="9.109375" style="3"/>
    <col min="15873" max="15873" width="11.109375" style="3" customWidth="1"/>
    <col min="15874" max="15875" width="0.88671875" style="3" customWidth="1"/>
    <col min="15876" max="15876" width="12.5546875" style="3" customWidth="1"/>
    <col min="15877" max="15877" width="10.109375" style="3" customWidth="1"/>
    <col min="15878" max="15880" width="7.88671875" style="3" customWidth="1"/>
    <col min="15881" max="15881" width="4.44140625" style="3" customWidth="1"/>
    <col min="15882" max="15882" width="4" style="3" customWidth="1"/>
    <col min="15883" max="15884" width="7.33203125" style="3" customWidth="1"/>
    <col min="15885" max="15885" width="1.5546875" style="3" customWidth="1"/>
    <col min="15886" max="15886" width="7.88671875" style="3" customWidth="1"/>
    <col min="15887" max="15887" width="8.33203125" style="3" customWidth="1"/>
    <col min="15888" max="16128" width="9.109375" style="3"/>
    <col min="16129" max="16129" width="11.109375" style="3" customWidth="1"/>
    <col min="16130" max="16131" width="0.88671875" style="3" customWidth="1"/>
    <col min="16132" max="16132" width="12.5546875" style="3" customWidth="1"/>
    <col min="16133" max="16133" width="10.109375" style="3" customWidth="1"/>
    <col min="16134" max="16136" width="7.88671875" style="3" customWidth="1"/>
    <col min="16137" max="16137" width="4.44140625" style="3" customWidth="1"/>
    <col min="16138" max="16138" width="4" style="3" customWidth="1"/>
    <col min="16139" max="16140" width="7.33203125" style="3" customWidth="1"/>
    <col min="16141" max="16141" width="1.5546875" style="3" customWidth="1"/>
    <col min="16142" max="16142" width="7.88671875" style="3" customWidth="1"/>
    <col min="16143" max="16143" width="8.33203125" style="3" customWidth="1"/>
    <col min="16144" max="16384" width="9.109375" style="3"/>
  </cols>
  <sheetData>
    <row r="1" spans="1:15" ht="14.25" customHeight="1" x14ac:dyDescent="0.3">
      <c r="A1" s="80" t="s">
        <v>266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ht="5.85" customHeight="1" x14ac:dyDescent="0.3"/>
    <row r="3" spans="1:15" ht="63.15" customHeight="1" x14ac:dyDescent="0.3">
      <c r="A3" s="4" t="s">
        <v>267</v>
      </c>
      <c r="C3" s="82" t="s">
        <v>1208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</row>
    <row r="4" spans="1:15" ht="17.25" customHeight="1" x14ac:dyDescent="0.3"/>
    <row r="5" spans="1:15" ht="11.4" customHeight="1" x14ac:dyDescent="0.3">
      <c r="A5" s="83" t="s">
        <v>269</v>
      </c>
      <c r="B5" s="84"/>
      <c r="C5" s="85"/>
      <c r="D5" s="5" t="s">
        <v>270</v>
      </c>
      <c r="E5" s="6" t="s">
        <v>271</v>
      </c>
      <c r="F5" s="5" t="s">
        <v>272</v>
      </c>
      <c r="G5" s="6" t="s">
        <v>273</v>
      </c>
      <c r="H5" s="5" t="s">
        <v>274</v>
      </c>
      <c r="I5" s="120" t="s">
        <v>275</v>
      </c>
      <c r="J5" s="93"/>
      <c r="K5" s="5" t="s">
        <v>276</v>
      </c>
      <c r="L5" s="6" t="s">
        <v>277</v>
      </c>
      <c r="M5" s="83" t="s">
        <v>278</v>
      </c>
      <c r="N5" s="85"/>
      <c r="O5" s="7" t="s">
        <v>279</v>
      </c>
    </row>
    <row r="6" spans="1:15" ht="11.4" customHeight="1" x14ac:dyDescent="0.3">
      <c r="A6" s="88" t="s">
        <v>1209</v>
      </c>
      <c r="B6" s="84"/>
      <c r="C6" s="85"/>
      <c r="D6" s="14" t="s">
        <v>435</v>
      </c>
      <c r="E6" s="9" t="s">
        <v>1210</v>
      </c>
      <c r="F6" s="15" t="s">
        <v>452</v>
      </c>
      <c r="G6" s="11" t="s">
        <v>284</v>
      </c>
      <c r="H6" s="15" t="s">
        <v>976</v>
      </c>
      <c r="I6" s="141" t="s">
        <v>7</v>
      </c>
      <c r="J6" s="85"/>
      <c r="K6" s="15" t="s">
        <v>1211</v>
      </c>
      <c r="L6" s="9" t="s">
        <v>287</v>
      </c>
      <c r="M6" s="88" t="s">
        <v>288</v>
      </c>
      <c r="N6" s="85"/>
      <c r="O6" s="9" t="s">
        <v>289</v>
      </c>
    </row>
    <row r="7" spans="1:15" ht="11.4" customHeight="1" x14ac:dyDescent="0.3">
      <c r="A7" s="111" t="s">
        <v>1209</v>
      </c>
      <c r="B7" s="112"/>
      <c r="C7" s="106"/>
      <c r="D7" s="9" t="s">
        <v>1212</v>
      </c>
      <c r="E7" s="8" t="s">
        <v>1213</v>
      </c>
      <c r="F7" s="11" t="s">
        <v>1214</v>
      </c>
      <c r="G7" s="10" t="s">
        <v>1215</v>
      </c>
      <c r="H7" s="11" t="s">
        <v>1216</v>
      </c>
      <c r="I7" s="147" t="s">
        <v>7</v>
      </c>
      <c r="J7" s="106"/>
      <c r="K7" s="11" t="s">
        <v>1217</v>
      </c>
      <c r="L7" s="8" t="s">
        <v>287</v>
      </c>
      <c r="M7" s="88" t="s">
        <v>288</v>
      </c>
      <c r="N7" s="85"/>
      <c r="O7" s="9" t="s">
        <v>289</v>
      </c>
    </row>
    <row r="8" spans="1:15" ht="2.85" customHeight="1" x14ac:dyDescent="0.3"/>
    <row r="9" spans="1:15" ht="11.4" customHeight="1" x14ac:dyDescent="0.3">
      <c r="A9" s="94" t="s">
        <v>290</v>
      </c>
      <c r="B9" s="81"/>
      <c r="C9" s="81"/>
      <c r="D9" s="81"/>
      <c r="E9" s="81"/>
      <c r="F9" s="81"/>
      <c r="G9" s="81"/>
      <c r="H9" s="12" t="s">
        <v>1218</v>
      </c>
      <c r="I9" s="142" t="s">
        <v>9</v>
      </c>
      <c r="J9" s="143"/>
      <c r="K9" s="97" t="s">
        <v>291</v>
      </c>
      <c r="L9" s="81"/>
      <c r="M9" s="81"/>
      <c r="N9" s="97" t="s">
        <v>292</v>
      </c>
      <c r="O9" s="81"/>
    </row>
    <row r="10" spans="1:15" ht="11.4" customHeight="1" x14ac:dyDescent="0.3">
      <c r="F10" s="97" t="s">
        <v>293</v>
      </c>
      <c r="G10" s="81"/>
      <c r="H10" s="13" t="s">
        <v>1219</v>
      </c>
      <c r="I10" s="144" t="s">
        <v>9</v>
      </c>
      <c r="J10" s="145"/>
      <c r="K10" s="100" t="s">
        <v>295</v>
      </c>
      <c r="L10" s="81"/>
      <c r="M10" s="81"/>
      <c r="N10" s="100" t="s">
        <v>295</v>
      </c>
      <c r="O10" s="81"/>
    </row>
    <row r="11" spans="1:15" ht="20.100000000000001" customHeight="1" x14ac:dyDescent="0.3"/>
    <row r="12" spans="1:15" ht="11.4" customHeight="1" x14ac:dyDescent="0.3">
      <c r="A12" s="83" t="s">
        <v>269</v>
      </c>
      <c r="B12" s="84"/>
      <c r="C12" s="85"/>
      <c r="D12" s="6" t="s">
        <v>270</v>
      </c>
      <c r="E12" s="5" t="s">
        <v>271</v>
      </c>
      <c r="F12" s="6" t="s">
        <v>272</v>
      </c>
      <c r="G12" s="5" t="s">
        <v>273</v>
      </c>
      <c r="H12" s="6" t="s">
        <v>274</v>
      </c>
      <c r="I12" s="83" t="s">
        <v>275</v>
      </c>
      <c r="J12" s="85"/>
      <c r="K12" s="6" t="s">
        <v>276</v>
      </c>
      <c r="L12" s="5" t="s">
        <v>277</v>
      </c>
      <c r="M12" s="120" t="s">
        <v>278</v>
      </c>
      <c r="N12" s="93"/>
      <c r="O12" s="5" t="s">
        <v>279</v>
      </c>
    </row>
    <row r="13" spans="1:15" ht="11.4" customHeight="1" x14ac:dyDescent="0.3">
      <c r="A13" s="101" t="s">
        <v>1209</v>
      </c>
      <c r="B13" s="84"/>
      <c r="C13" s="85"/>
      <c r="D13" s="9" t="s">
        <v>744</v>
      </c>
      <c r="E13" s="14" t="s">
        <v>1220</v>
      </c>
      <c r="F13" s="11" t="s">
        <v>397</v>
      </c>
      <c r="G13" s="15" t="s">
        <v>741</v>
      </c>
      <c r="H13" s="11" t="s">
        <v>1221</v>
      </c>
      <c r="I13" s="141" t="s">
        <v>7</v>
      </c>
      <c r="J13" s="85"/>
      <c r="K13" s="11" t="s">
        <v>354</v>
      </c>
      <c r="L13" s="14" t="s">
        <v>287</v>
      </c>
      <c r="M13" s="88" t="s">
        <v>302</v>
      </c>
      <c r="N13" s="85"/>
      <c r="O13" s="16" t="s">
        <v>289</v>
      </c>
    </row>
    <row r="14" spans="1:15" ht="11.4" customHeight="1" x14ac:dyDescent="0.3">
      <c r="A14" s="88" t="s">
        <v>1209</v>
      </c>
      <c r="B14" s="84"/>
      <c r="C14" s="85"/>
      <c r="D14" s="14" t="s">
        <v>1105</v>
      </c>
      <c r="E14" s="9" t="s">
        <v>1222</v>
      </c>
      <c r="F14" s="15" t="s">
        <v>431</v>
      </c>
      <c r="G14" s="11" t="s">
        <v>1223</v>
      </c>
      <c r="H14" s="15" t="s">
        <v>1224</v>
      </c>
      <c r="I14" s="141" t="s">
        <v>7</v>
      </c>
      <c r="J14" s="85"/>
      <c r="K14" s="15" t="s">
        <v>434</v>
      </c>
      <c r="L14" s="9" t="s">
        <v>287</v>
      </c>
      <c r="M14" s="88" t="s">
        <v>302</v>
      </c>
      <c r="N14" s="85"/>
      <c r="O14" s="9" t="s">
        <v>289</v>
      </c>
    </row>
    <row r="15" spans="1:15" ht="11.4" customHeight="1" x14ac:dyDescent="0.3">
      <c r="A15" s="111" t="s">
        <v>1209</v>
      </c>
      <c r="B15" s="112"/>
      <c r="C15" s="106"/>
      <c r="D15" s="9" t="s">
        <v>377</v>
      </c>
      <c r="E15" s="8" t="s">
        <v>1225</v>
      </c>
      <c r="F15" s="11" t="s">
        <v>1226</v>
      </c>
      <c r="G15" s="10" t="s">
        <v>683</v>
      </c>
      <c r="H15" s="11" t="s">
        <v>799</v>
      </c>
      <c r="I15" s="147" t="s">
        <v>7</v>
      </c>
      <c r="J15" s="106"/>
      <c r="K15" s="11" t="s">
        <v>388</v>
      </c>
      <c r="L15" s="8" t="s">
        <v>287</v>
      </c>
      <c r="M15" s="88" t="s">
        <v>302</v>
      </c>
      <c r="N15" s="85"/>
      <c r="O15" s="9" t="s">
        <v>289</v>
      </c>
    </row>
    <row r="16" spans="1:15" ht="2.85" customHeight="1" x14ac:dyDescent="0.3"/>
    <row r="17" spans="1:15" ht="11.4" customHeight="1" x14ac:dyDescent="0.3">
      <c r="A17" s="94" t="s">
        <v>339</v>
      </c>
      <c r="B17" s="81"/>
      <c r="C17" s="81"/>
      <c r="D17" s="81"/>
      <c r="E17" s="81"/>
      <c r="F17" s="81"/>
      <c r="G17" s="81"/>
      <c r="H17" s="12" t="s">
        <v>1227</v>
      </c>
      <c r="I17" s="142" t="s">
        <v>9</v>
      </c>
      <c r="J17" s="143"/>
      <c r="K17" s="97" t="s">
        <v>291</v>
      </c>
      <c r="L17" s="81"/>
      <c r="M17" s="81"/>
      <c r="N17" s="97" t="s">
        <v>292</v>
      </c>
      <c r="O17" s="81"/>
    </row>
    <row r="18" spans="1:15" ht="11.4" customHeight="1" x14ac:dyDescent="0.3">
      <c r="F18" s="97" t="s">
        <v>293</v>
      </c>
      <c r="G18" s="81"/>
      <c r="H18" s="13" t="s">
        <v>1228</v>
      </c>
      <c r="I18" s="144" t="s">
        <v>9</v>
      </c>
      <c r="J18" s="145"/>
      <c r="K18" s="100" t="s">
        <v>295</v>
      </c>
      <c r="L18" s="81"/>
      <c r="M18" s="81"/>
      <c r="N18" s="100" t="s">
        <v>295</v>
      </c>
      <c r="O18" s="81"/>
    </row>
    <row r="19" spans="1:15" ht="20.100000000000001" customHeight="1" x14ac:dyDescent="0.3"/>
    <row r="20" spans="1:15" ht="11.4" customHeight="1" x14ac:dyDescent="0.3">
      <c r="A20" s="83" t="s">
        <v>269</v>
      </c>
      <c r="B20" s="84"/>
      <c r="C20" s="85"/>
      <c r="D20" s="6" t="s">
        <v>270</v>
      </c>
      <c r="E20" s="5" t="s">
        <v>271</v>
      </c>
      <c r="F20" s="6" t="s">
        <v>272</v>
      </c>
      <c r="G20" s="5" t="s">
        <v>273</v>
      </c>
      <c r="H20" s="6" t="s">
        <v>274</v>
      </c>
      <c r="I20" s="83" t="s">
        <v>275</v>
      </c>
      <c r="J20" s="85"/>
      <c r="K20" s="6" t="s">
        <v>276</v>
      </c>
      <c r="L20" s="5" t="s">
        <v>277</v>
      </c>
      <c r="M20" s="120" t="s">
        <v>278</v>
      </c>
      <c r="N20" s="93"/>
      <c r="O20" s="5" t="s">
        <v>279</v>
      </c>
    </row>
    <row r="21" spans="1:15" ht="11.4" customHeight="1" x14ac:dyDescent="0.3">
      <c r="A21" s="101" t="s">
        <v>1209</v>
      </c>
      <c r="B21" s="84"/>
      <c r="C21" s="85"/>
      <c r="D21" s="9" t="s">
        <v>1011</v>
      </c>
      <c r="E21" s="14" t="s">
        <v>1229</v>
      </c>
      <c r="F21" s="11" t="s">
        <v>1230</v>
      </c>
      <c r="G21" s="15" t="s">
        <v>1231</v>
      </c>
      <c r="H21" s="11" t="s">
        <v>1232</v>
      </c>
      <c r="I21" s="141" t="s">
        <v>7</v>
      </c>
      <c r="J21" s="85"/>
      <c r="K21" s="11" t="s">
        <v>286</v>
      </c>
      <c r="L21" s="14" t="s">
        <v>287</v>
      </c>
      <c r="M21" s="88" t="s">
        <v>348</v>
      </c>
      <c r="N21" s="85"/>
      <c r="O21" s="16" t="s">
        <v>309</v>
      </c>
    </row>
    <row r="22" spans="1:15" ht="11.4" customHeight="1" x14ac:dyDescent="0.3">
      <c r="A22" s="88" t="s">
        <v>1209</v>
      </c>
      <c r="B22" s="84"/>
      <c r="C22" s="85"/>
      <c r="D22" s="14" t="s">
        <v>1233</v>
      </c>
      <c r="E22" s="9" t="s">
        <v>1234</v>
      </c>
      <c r="F22" s="15" t="s">
        <v>823</v>
      </c>
      <c r="G22" s="11" t="s">
        <v>1235</v>
      </c>
      <c r="H22" s="15" t="s">
        <v>1236</v>
      </c>
      <c r="I22" s="141" t="s">
        <v>7</v>
      </c>
      <c r="J22" s="85"/>
      <c r="K22" s="15" t="s">
        <v>641</v>
      </c>
      <c r="L22" s="9" t="s">
        <v>287</v>
      </c>
      <c r="M22" s="88" t="s">
        <v>348</v>
      </c>
      <c r="N22" s="85"/>
      <c r="O22" s="9" t="s">
        <v>289</v>
      </c>
    </row>
    <row r="23" spans="1:15" ht="11.4" customHeight="1" x14ac:dyDescent="0.3">
      <c r="A23" s="101" t="s">
        <v>1209</v>
      </c>
      <c r="B23" s="84"/>
      <c r="C23" s="85"/>
      <c r="D23" s="9" t="s">
        <v>333</v>
      </c>
      <c r="E23" s="14" t="s">
        <v>1237</v>
      </c>
      <c r="F23" s="11" t="s">
        <v>679</v>
      </c>
      <c r="G23" s="15" t="s">
        <v>1013</v>
      </c>
      <c r="H23" s="11" t="s">
        <v>307</v>
      </c>
      <c r="I23" s="141" t="s">
        <v>7</v>
      </c>
      <c r="J23" s="85"/>
      <c r="K23" s="11" t="s">
        <v>1010</v>
      </c>
      <c r="L23" s="14" t="s">
        <v>287</v>
      </c>
      <c r="M23" s="88" t="s">
        <v>348</v>
      </c>
      <c r="N23" s="85"/>
      <c r="O23" s="16" t="s">
        <v>289</v>
      </c>
    </row>
    <row r="24" spans="1:15" ht="11.4" customHeight="1" x14ac:dyDescent="0.3">
      <c r="A24" s="88" t="s">
        <v>1209</v>
      </c>
      <c r="B24" s="84"/>
      <c r="C24" s="85"/>
      <c r="D24" s="8" t="s">
        <v>772</v>
      </c>
      <c r="E24" s="9" t="s">
        <v>1238</v>
      </c>
      <c r="F24" s="10" t="s">
        <v>1239</v>
      </c>
      <c r="G24" s="11" t="s">
        <v>453</v>
      </c>
      <c r="H24" s="10" t="s">
        <v>893</v>
      </c>
      <c r="I24" s="141" t="s">
        <v>7</v>
      </c>
      <c r="J24" s="85"/>
      <c r="K24" s="10" t="s">
        <v>477</v>
      </c>
      <c r="L24" s="9" t="s">
        <v>287</v>
      </c>
      <c r="M24" s="88" t="s">
        <v>348</v>
      </c>
      <c r="N24" s="85"/>
      <c r="O24" s="9" t="s">
        <v>309</v>
      </c>
    </row>
    <row r="25" spans="1:15" ht="2.85" customHeight="1" x14ac:dyDescent="0.3"/>
    <row r="26" spans="1:15" ht="11.4" customHeight="1" x14ac:dyDescent="0.3">
      <c r="A26" s="94" t="s">
        <v>361</v>
      </c>
      <c r="B26" s="81"/>
      <c r="C26" s="81"/>
      <c r="D26" s="81"/>
      <c r="E26" s="81"/>
      <c r="F26" s="81"/>
      <c r="G26" s="81"/>
      <c r="H26" s="12" t="s">
        <v>1240</v>
      </c>
      <c r="I26" s="142" t="s">
        <v>9</v>
      </c>
      <c r="J26" s="143"/>
      <c r="K26" s="97" t="s">
        <v>291</v>
      </c>
      <c r="L26" s="81"/>
      <c r="M26" s="81"/>
      <c r="N26" s="97" t="s">
        <v>292</v>
      </c>
      <c r="O26" s="81"/>
    </row>
    <row r="27" spans="1:15" ht="11.4" customHeight="1" x14ac:dyDescent="0.3">
      <c r="F27" s="97" t="s">
        <v>293</v>
      </c>
      <c r="G27" s="81"/>
      <c r="H27" s="13" t="s">
        <v>1241</v>
      </c>
      <c r="I27" s="144" t="s">
        <v>9</v>
      </c>
      <c r="J27" s="145"/>
      <c r="K27" s="100" t="s">
        <v>295</v>
      </c>
      <c r="L27" s="81"/>
      <c r="M27" s="81"/>
      <c r="N27" s="100" t="s">
        <v>295</v>
      </c>
      <c r="O27" s="81"/>
    </row>
    <row r="28" spans="1:15" ht="20.100000000000001" customHeight="1" x14ac:dyDescent="0.3"/>
    <row r="29" spans="1:15" ht="11.4" customHeight="1" x14ac:dyDescent="0.3">
      <c r="A29" s="91" t="s">
        <v>269</v>
      </c>
      <c r="B29" s="92"/>
      <c r="C29" s="93"/>
      <c r="D29" s="5" t="s">
        <v>270</v>
      </c>
      <c r="E29" s="6" t="s">
        <v>271</v>
      </c>
      <c r="F29" s="5" t="s">
        <v>272</v>
      </c>
      <c r="G29" s="6" t="s">
        <v>273</v>
      </c>
      <c r="H29" s="55" t="s">
        <v>274</v>
      </c>
      <c r="I29" s="120" t="s">
        <v>275</v>
      </c>
      <c r="J29" s="93"/>
      <c r="K29" s="55" t="s">
        <v>276</v>
      </c>
      <c r="L29" s="6" t="s">
        <v>277</v>
      </c>
      <c r="M29" s="153" t="s">
        <v>278</v>
      </c>
      <c r="N29" s="106"/>
      <c r="O29" s="7" t="s">
        <v>279</v>
      </c>
    </row>
    <row r="30" spans="1:15" ht="11.4" customHeight="1" x14ac:dyDescent="0.3">
      <c r="A30" s="105" t="s">
        <v>1209</v>
      </c>
      <c r="B30" s="112"/>
      <c r="C30" s="106"/>
      <c r="D30" s="14" t="s">
        <v>372</v>
      </c>
      <c r="E30" s="28" t="s">
        <v>1242</v>
      </c>
      <c r="F30" s="15" t="s">
        <v>679</v>
      </c>
      <c r="G30" s="27" t="s">
        <v>512</v>
      </c>
      <c r="H30" s="24" t="s">
        <v>678</v>
      </c>
      <c r="I30" s="147" t="s">
        <v>7</v>
      </c>
      <c r="J30" s="106"/>
      <c r="K30" s="24" t="s">
        <v>416</v>
      </c>
      <c r="L30" s="28" t="s">
        <v>370</v>
      </c>
      <c r="M30" s="116" t="s">
        <v>371</v>
      </c>
      <c r="N30" s="93"/>
      <c r="O30" s="28" t="s">
        <v>289</v>
      </c>
    </row>
    <row r="31" spans="1:15" ht="11.4" customHeight="1" x14ac:dyDescent="0.3">
      <c r="A31" s="121" t="s">
        <v>1209</v>
      </c>
      <c r="B31" s="92"/>
      <c r="C31" s="93"/>
      <c r="D31" s="28" t="s">
        <v>383</v>
      </c>
      <c r="E31" s="25" t="s">
        <v>1243</v>
      </c>
      <c r="F31" s="27" t="s">
        <v>670</v>
      </c>
      <c r="G31" s="24" t="s">
        <v>1244</v>
      </c>
      <c r="H31" s="27" t="s">
        <v>731</v>
      </c>
      <c r="I31" s="149" t="s">
        <v>7</v>
      </c>
      <c r="J31" s="93"/>
      <c r="K31" s="27" t="s">
        <v>1157</v>
      </c>
      <c r="L31" s="25" t="s">
        <v>370</v>
      </c>
      <c r="M31" s="105" t="s">
        <v>371</v>
      </c>
      <c r="N31" s="106"/>
      <c r="O31" s="26" t="s">
        <v>289</v>
      </c>
    </row>
    <row r="32" spans="1:15" ht="11.4" customHeight="1" x14ac:dyDescent="0.3">
      <c r="A32" s="105" t="s">
        <v>1209</v>
      </c>
      <c r="B32" s="112"/>
      <c r="C32" s="106"/>
      <c r="D32" s="25" t="s">
        <v>444</v>
      </c>
      <c r="E32" s="28" t="s">
        <v>1245</v>
      </c>
      <c r="F32" s="24" t="s">
        <v>1246</v>
      </c>
      <c r="G32" s="27" t="s">
        <v>802</v>
      </c>
      <c r="H32" s="24" t="s">
        <v>1247</v>
      </c>
      <c r="I32" s="147" t="s">
        <v>7</v>
      </c>
      <c r="J32" s="106"/>
      <c r="K32" s="24" t="s">
        <v>637</v>
      </c>
      <c r="L32" s="28" t="s">
        <v>370</v>
      </c>
      <c r="M32" s="116" t="s">
        <v>371</v>
      </c>
      <c r="N32" s="93"/>
      <c r="O32" s="28" t="s">
        <v>309</v>
      </c>
    </row>
    <row r="33" spans="1:15" ht="11.4" customHeight="1" x14ac:dyDescent="0.3">
      <c r="A33" s="121" t="s">
        <v>1209</v>
      </c>
      <c r="B33" s="92"/>
      <c r="C33" s="93"/>
      <c r="D33" s="28" t="s">
        <v>389</v>
      </c>
      <c r="E33" s="25" t="s">
        <v>1248</v>
      </c>
      <c r="F33" s="27" t="s">
        <v>1020</v>
      </c>
      <c r="G33" s="24" t="s">
        <v>525</v>
      </c>
      <c r="H33" s="27" t="s">
        <v>1249</v>
      </c>
      <c r="I33" s="149" t="s">
        <v>7</v>
      </c>
      <c r="J33" s="93"/>
      <c r="K33" s="27" t="s">
        <v>354</v>
      </c>
      <c r="L33" s="25" t="s">
        <v>370</v>
      </c>
      <c r="M33" s="105" t="s">
        <v>371</v>
      </c>
      <c r="N33" s="106"/>
      <c r="O33" s="26" t="s">
        <v>309</v>
      </c>
    </row>
    <row r="34" spans="1:15" ht="11.4" customHeight="1" x14ac:dyDescent="0.3">
      <c r="A34" s="105" t="s">
        <v>1209</v>
      </c>
      <c r="B34" s="112"/>
      <c r="C34" s="106"/>
      <c r="D34" s="25" t="s">
        <v>1250</v>
      </c>
      <c r="E34" s="28" t="s">
        <v>1251</v>
      </c>
      <c r="F34" s="24" t="s">
        <v>1252</v>
      </c>
      <c r="G34" s="27" t="s">
        <v>398</v>
      </c>
      <c r="H34" s="24" t="s">
        <v>994</v>
      </c>
      <c r="I34" s="147" t="s">
        <v>7</v>
      </c>
      <c r="J34" s="106"/>
      <c r="K34" s="24" t="s">
        <v>693</v>
      </c>
      <c r="L34" s="28" t="s">
        <v>370</v>
      </c>
      <c r="M34" s="116" t="s">
        <v>371</v>
      </c>
      <c r="N34" s="93"/>
      <c r="O34" s="28" t="s">
        <v>309</v>
      </c>
    </row>
    <row r="35" spans="1:15" ht="11.4" customHeight="1" x14ac:dyDescent="0.3">
      <c r="A35" s="121" t="s">
        <v>1209</v>
      </c>
      <c r="B35" s="92"/>
      <c r="C35" s="93"/>
      <c r="D35" s="28" t="s">
        <v>566</v>
      </c>
      <c r="E35" s="25" t="s">
        <v>1253</v>
      </c>
      <c r="F35" s="27" t="s">
        <v>1254</v>
      </c>
      <c r="G35" s="24" t="s">
        <v>1255</v>
      </c>
      <c r="H35" s="27" t="s">
        <v>1256</v>
      </c>
      <c r="I35" s="149" t="s">
        <v>7</v>
      </c>
      <c r="J35" s="93"/>
      <c r="K35" s="27" t="s">
        <v>735</v>
      </c>
      <c r="L35" s="25" t="s">
        <v>370</v>
      </c>
      <c r="M35" s="105" t="s">
        <v>371</v>
      </c>
      <c r="N35" s="106"/>
      <c r="O35" s="26" t="s">
        <v>309</v>
      </c>
    </row>
    <row r="36" spans="1:15" ht="11.4" customHeight="1" x14ac:dyDescent="0.3">
      <c r="A36" s="105" t="s">
        <v>1209</v>
      </c>
      <c r="B36" s="112"/>
      <c r="C36" s="106"/>
      <c r="D36" s="25" t="s">
        <v>1257</v>
      </c>
      <c r="E36" s="28" t="s">
        <v>1258</v>
      </c>
      <c r="F36" s="24" t="s">
        <v>469</v>
      </c>
      <c r="G36" s="27" t="s">
        <v>313</v>
      </c>
      <c r="H36" s="24" t="s">
        <v>1259</v>
      </c>
      <c r="I36" s="147" t="s">
        <v>7</v>
      </c>
      <c r="J36" s="106"/>
      <c r="K36" s="24" t="s">
        <v>332</v>
      </c>
      <c r="L36" s="28" t="s">
        <v>287</v>
      </c>
      <c r="M36" s="116" t="s">
        <v>371</v>
      </c>
      <c r="N36" s="93"/>
      <c r="O36" s="28" t="s">
        <v>289</v>
      </c>
    </row>
    <row r="37" spans="1:15" ht="11.4" customHeight="1" x14ac:dyDescent="0.3">
      <c r="A37" s="121" t="s">
        <v>1209</v>
      </c>
      <c r="B37" s="92"/>
      <c r="C37" s="93"/>
      <c r="D37" s="28" t="s">
        <v>412</v>
      </c>
      <c r="E37" s="25" t="s">
        <v>1260</v>
      </c>
      <c r="F37" s="27" t="s">
        <v>1261</v>
      </c>
      <c r="G37" s="24" t="s">
        <v>882</v>
      </c>
      <c r="H37" s="27" t="s">
        <v>1014</v>
      </c>
      <c r="I37" s="149" t="s">
        <v>7</v>
      </c>
      <c r="J37" s="93"/>
      <c r="K37" s="27" t="s">
        <v>338</v>
      </c>
      <c r="L37" s="25" t="s">
        <v>370</v>
      </c>
      <c r="M37" s="105" t="s">
        <v>371</v>
      </c>
      <c r="N37" s="106"/>
      <c r="O37" s="26" t="s">
        <v>309</v>
      </c>
    </row>
    <row r="38" spans="1:15" ht="11.4" customHeight="1" x14ac:dyDescent="0.3">
      <c r="A38" s="105" t="s">
        <v>1209</v>
      </c>
      <c r="B38" s="112"/>
      <c r="C38" s="106"/>
      <c r="D38" s="25" t="s">
        <v>1262</v>
      </c>
      <c r="E38" s="28" t="s">
        <v>1263</v>
      </c>
      <c r="F38" s="24" t="s">
        <v>1087</v>
      </c>
      <c r="G38" s="27" t="s">
        <v>1264</v>
      </c>
      <c r="H38" s="24" t="s">
        <v>1265</v>
      </c>
      <c r="I38" s="141" t="s">
        <v>7</v>
      </c>
      <c r="J38" s="85"/>
      <c r="K38" s="24" t="s">
        <v>765</v>
      </c>
      <c r="L38" s="9" t="s">
        <v>287</v>
      </c>
      <c r="M38" s="116" t="s">
        <v>371</v>
      </c>
      <c r="N38" s="93"/>
      <c r="O38" s="9" t="s">
        <v>289</v>
      </c>
    </row>
    <row r="39" spans="1:15" ht="11.4" customHeight="1" x14ac:dyDescent="0.3">
      <c r="A39" s="121" t="s">
        <v>1209</v>
      </c>
      <c r="B39" s="92"/>
      <c r="C39" s="93"/>
      <c r="D39" s="9" t="s">
        <v>1266</v>
      </c>
      <c r="E39" s="25" t="s">
        <v>1267</v>
      </c>
      <c r="F39" s="11" t="s">
        <v>458</v>
      </c>
      <c r="G39" s="24" t="s">
        <v>629</v>
      </c>
      <c r="H39" s="11" t="s">
        <v>1268</v>
      </c>
      <c r="I39" s="141" t="s">
        <v>7</v>
      </c>
      <c r="J39" s="85"/>
      <c r="K39" s="11" t="s">
        <v>1269</v>
      </c>
      <c r="L39" s="14" t="s">
        <v>287</v>
      </c>
      <c r="M39" s="88" t="s">
        <v>371</v>
      </c>
      <c r="N39" s="85"/>
      <c r="O39" s="16" t="s">
        <v>309</v>
      </c>
    </row>
    <row r="40" spans="1:15" ht="11.4" customHeight="1" x14ac:dyDescent="0.3">
      <c r="A40" s="88" t="s">
        <v>1209</v>
      </c>
      <c r="B40" s="84"/>
      <c r="C40" s="85"/>
      <c r="D40" s="14" t="s">
        <v>865</v>
      </c>
      <c r="E40" s="9" t="s">
        <v>1270</v>
      </c>
      <c r="F40" s="15" t="s">
        <v>409</v>
      </c>
      <c r="G40" s="11" t="s">
        <v>1215</v>
      </c>
      <c r="H40" s="15" t="s">
        <v>1271</v>
      </c>
      <c r="I40" s="141" t="s">
        <v>7</v>
      </c>
      <c r="J40" s="85"/>
      <c r="K40" s="15" t="s">
        <v>471</v>
      </c>
      <c r="L40" s="9" t="s">
        <v>287</v>
      </c>
      <c r="M40" s="88" t="s">
        <v>371</v>
      </c>
      <c r="N40" s="85"/>
      <c r="O40" s="9" t="s">
        <v>309</v>
      </c>
    </row>
    <row r="41" spans="1:15" ht="11.4" customHeight="1" x14ac:dyDescent="0.3">
      <c r="A41" s="101" t="s">
        <v>1209</v>
      </c>
      <c r="B41" s="84"/>
      <c r="C41" s="85"/>
      <c r="D41" s="9" t="s">
        <v>792</v>
      </c>
      <c r="E41" s="14" t="s">
        <v>1272</v>
      </c>
      <c r="F41" s="11" t="s">
        <v>1273</v>
      </c>
      <c r="G41" s="15" t="s">
        <v>1274</v>
      </c>
      <c r="H41" s="11" t="s">
        <v>1275</v>
      </c>
      <c r="I41" s="141" t="s">
        <v>7</v>
      </c>
      <c r="J41" s="85"/>
      <c r="K41" s="11" t="s">
        <v>455</v>
      </c>
      <c r="L41" s="14" t="s">
        <v>287</v>
      </c>
      <c r="M41" s="88" t="s">
        <v>371</v>
      </c>
      <c r="N41" s="85"/>
      <c r="O41" s="16" t="s">
        <v>289</v>
      </c>
    </row>
    <row r="42" spans="1:15" ht="11.4" customHeight="1" x14ac:dyDescent="0.3">
      <c r="A42" s="88" t="s">
        <v>1209</v>
      </c>
      <c r="B42" s="84"/>
      <c r="C42" s="85"/>
      <c r="D42" s="8" t="s">
        <v>762</v>
      </c>
      <c r="E42" s="9" t="s">
        <v>7</v>
      </c>
      <c r="F42" s="10" t="s">
        <v>859</v>
      </c>
      <c r="G42" s="11" t="s">
        <v>761</v>
      </c>
      <c r="H42" s="10" t="s">
        <v>1276</v>
      </c>
      <c r="I42" s="141" t="s">
        <v>7</v>
      </c>
      <c r="J42" s="85"/>
      <c r="K42" s="10" t="s">
        <v>338</v>
      </c>
      <c r="L42" s="9" t="s">
        <v>287</v>
      </c>
      <c r="M42" s="88" t="s">
        <v>371</v>
      </c>
      <c r="N42" s="85"/>
      <c r="O42" s="9" t="s">
        <v>709</v>
      </c>
    </row>
    <row r="43" spans="1:15" ht="2.85" customHeight="1" x14ac:dyDescent="0.3"/>
    <row r="44" spans="1:15" ht="11.4" customHeight="1" x14ac:dyDescent="0.3">
      <c r="A44" s="94" t="s">
        <v>478</v>
      </c>
      <c r="B44" s="81"/>
      <c r="C44" s="81"/>
      <c r="D44" s="81"/>
      <c r="E44" s="81"/>
      <c r="F44" s="81"/>
      <c r="G44" s="81"/>
      <c r="H44" s="12" t="s">
        <v>1277</v>
      </c>
      <c r="I44" s="142" t="s">
        <v>9</v>
      </c>
      <c r="J44" s="143"/>
      <c r="K44" s="97" t="s">
        <v>291</v>
      </c>
      <c r="L44" s="81"/>
      <c r="M44" s="81"/>
      <c r="N44" s="97" t="s">
        <v>292</v>
      </c>
      <c r="O44" s="81"/>
    </row>
    <row r="45" spans="1:15" ht="11.4" customHeight="1" x14ac:dyDescent="0.3">
      <c r="F45" s="97" t="s">
        <v>293</v>
      </c>
      <c r="G45" s="81"/>
      <c r="H45" s="13" t="s">
        <v>1278</v>
      </c>
      <c r="I45" s="144" t="s">
        <v>9</v>
      </c>
      <c r="J45" s="145"/>
      <c r="K45" s="100" t="s">
        <v>295</v>
      </c>
      <c r="L45" s="81"/>
      <c r="M45" s="81"/>
      <c r="N45" s="100" t="s">
        <v>295</v>
      </c>
      <c r="O45" s="81"/>
    </row>
    <row r="46" spans="1:15" ht="20.100000000000001" customHeight="1" x14ac:dyDescent="0.3"/>
    <row r="47" spans="1:15" ht="11.4" customHeight="1" x14ac:dyDescent="0.3">
      <c r="A47" s="91" t="s">
        <v>269</v>
      </c>
      <c r="B47" s="92"/>
      <c r="C47" s="93"/>
      <c r="D47" s="5" t="s">
        <v>270</v>
      </c>
      <c r="E47" s="6" t="s">
        <v>271</v>
      </c>
      <c r="F47" s="5" t="s">
        <v>272</v>
      </c>
      <c r="G47" s="6" t="s">
        <v>273</v>
      </c>
      <c r="H47" s="5" t="s">
        <v>274</v>
      </c>
      <c r="I47" s="120" t="s">
        <v>275</v>
      </c>
      <c r="J47" s="93"/>
      <c r="K47" s="5" t="s">
        <v>276</v>
      </c>
      <c r="L47" s="6" t="s">
        <v>277</v>
      </c>
      <c r="M47" s="83" t="s">
        <v>278</v>
      </c>
      <c r="N47" s="85"/>
      <c r="O47" s="7" t="s">
        <v>279</v>
      </c>
    </row>
    <row r="48" spans="1:15" ht="11.4" customHeight="1" x14ac:dyDescent="0.3">
      <c r="A48" s="88" t="s">
        <v>1209</v>
      </c>
      <c r="B48" s="84"/>
      <c r="C48" s="85"/>
      <c r="D48" s="14" t="s">
        <v>510</v>
      </c>
      <c r="E48" s="9" t="s">
        <v>1279</v>
      </c>
      <c r="F48" s="15" t="s">
        <v>1067</v>
      </c>
      <c r="G48" s="11" t="s">
        <v>1179</v>
      </c>
      <c r="H48" s="15" t="s">
        <v>7</v>
      </c>
      <c r="I48" s="141" t="s">
        <v>1280</v>
      </c>
      <c r="J48" s="85"/>
      <c r="K48" s="15" t="s">
        <v>1281</v>
      </c>
      <c r="L48" s="9" t="s">
        <v>4</v>
      </c>
      <c r="M48" s="88" t="s">
        <v>486</v>
      </c>
      <c r="N48" s="85"/>
      <c r="O48" s="9" t="s">
        <v>289</v>
      </c>
    </row>
    <row r="49" spans="1:15" ht="11.4" customHeight="1" x14ac:dyDescent="0.3">
      <c r="A49" s="101" t="s">
        <v>1209</v>
      </c>
      <c r="B49" s="84"/>
      <c r="C49" s="85"/>
      <c r="D49" s="9" t="s">
        <v>540</v>
      </c>
      <c r="E49" s="14" t="s">
        <v>1282</v>
      </c>
      <c r="F49" s="11" t="s">
        <v>1283</v>
      </c>
      <c r="G49" s="15" t="s">
        <v>543</v>
      </c>
      <c r="H49" s="11" t="s">
        <v>7</v>
      </c>
      <c r="I49" s="117" t="s">
        <v>1249</v>
      </c>
      <c r="J49" s="118"/>
      <c r="K49" s="11" t="s">
        <v>527</v>
      </c>
      <c r="L49" s="14" t="s">
        <v>4</v>
      </c>
      <c r="M49" s="88" t="s">
        <v>486</v>
      </c>
      <c r="N49" s="85"/>
      <c r="O49" s="16" t="s">
        <v>309</v>
      </c>
    </row>
    <row r="50" spans="1:15" ht="11.4" customHeight="1" x14ac:dyDescent="0.3">
      <c r="A50" s="88" t="s">
        <v>1209</v>
      </c>
      <c r="B50" s="84"/>
      <c r="C50" s="85"/>
      <c r="D50" s="14" t="s">
        <v>517</v>
      </c>
      <c r="E50" s="9" t="s">
        <v>1284</v>
      </c>
      <c r="F50" s="15" t="s">
        <v>842</v>
      </c>
      <c r="G50" s="11" t="s">
        <v>848</v>
      </c>
      <c r="H50" s="10" t="s">
        <v>7</v>
      </c>
      <c r="I50" s="117" t="s">
        <v>359</v>
      </c>
      <c r="J50" s="118"/>
      <c r="K50" s="10" t="s">
        <v>521</v>
      </c>
      <c r="L50" s="9" t="s">
        <v>4</v>
      </c>
      <c r="M50" s="105" t="s">
        <v>486</v>
      </c>
      <c r="N50" s="106"/>
      <c r="O50" s="9" t="s">
        <v>289</v>
      </c>
    </row>
    <row r="51" spans="1:15" ht="11.4" customHeight="1" x14ac:dyDescent="0.3">
      <c r="A51" s="111" t="s">
        <v>1209</v>
      </c>
      <c r="B51" s="112"/>
      <c r="C51" s="106"/>
      <c r="D51" s="9" t="s">
        <v>504</v>
      </c>
      <c r="E51" s="8" t="s">
        <v>1285</v>
      </c>
      <c r="F51" s="11" t="s">
        <v>1286</v>
      </c>
      <c r="G51" s="10" t="s">
        <v>1068</v>
      </c>
      <c r="H51" s="20" t="s">
        <v>7</v>
      </c>
      <c r="I51" s="124" t="s">
        <v>1287</v>
      </c>
      <c r="J51" s="125"/>
      <c r="K51" s="20" t="s">
        <v>514</v>
      </c>
      <c r="L51" s="8" t="s">
        <v>4</v>
      </c>
      <c r="M51" s="110" t="s">
        <v>486</v>
      </c>
      <c r="N51" s="109"/>
      <c r="O51" s="45" t="s">
        <v>309</v>
      </c>
    </row>
    <row r="52" spans="1:15" ht="11.4" customHeight="1" x14ac:dyDescent="0.3">
      <c r="A52" s="110" t="s">
        <v>1209</v>
      </c>
      <c r="B52" s="108"/>
      <c r="C52" s="109"/>
      <c r="D52" s="8" t="s">
        <v>1047</v>
      </c>
      <c r="E52" s="19" t="s">
        <v>1288</v>
      </c>
      <c r="F52" s="10" t="s">
        <v>1289</v>
      </c>
      <c r="G52" s="20" t="s">
        <v>646</v>
      </c>
      <c r="H52" s="22" t="s">
        <v>7</v>
      </c>
      <c r="I52" s="135" t="s">
        <v>1290</v>
      </c>
      <c r="J52" s="136"/>
      <c r="K52" s="22" t="s">
        <v>649</v>
      </c>
      <c r="L52" s="19" t="s">
        <v>4</v>
      </c>
      <c r="M52" s="110" t="s">
        <v>486</v>
      </c>
      <c r="N52" s="109"/>
      <c r="O52" s="19" t="s">
        <v>289</v>
      </c>
    </row>
    <row r="53" spans="1:15" ht="11.4" customHeight="1" x14ac:dyDescent="0.3">
      <c r="A53" s="107" t="s">
        <v>1209</v>
      </c>
      <c r="B53" s="108"/>
      <c r="C53" s="109"/>
      <c r="D53" s="19" t="s">
        <v>545</v>
      </c>
      <c r="E53" s="21" t="s">
        <v>1291</v>
      </c>
      <c r="F53" s="20" t="s">
        <v>1292</v>
      </c>
      <c r="G53" s="22" t="s">
        <v>575</v>
      </c>
      <c r="H53" s="20" t="s">
        <v>7</v>
      </c>
      <c r="I53" s="135" t="s">
        <v>780</v>
      </c>
      <c r="J53" s="136"/>
      <c r="K53" s="20" t="s">
        <v>1293</v>
      </c>
      <c r="L53" s="21" t="s">
        <v>4</v>
      </c>
      <c r="M53" s="110" t="s">
        <v>486</v>
      </c>
      <c r="N53" s="109"/>
      <c r="O53" s="23" t="s">
        <v>309</v>
      </c>
    </row>
    <row r="54" spans="1:15" ht="11.4" customHeight="1" x14ac:dyDescent="0.3">
      <c r="A54" s="110" t="s">
        <v>1209</v>
      </c>
      <c r="B54" s="108"/>
      <c r="C54" s="109"/>
      <c r="D54" s="21" t="s">
        <v>948</v>
      </c>
      <c r="E54" s="19" t="s">
        <v>1294</v>
      </c>
      <c r="F54" s="22" t="s">
        <v>1295</v>
      </c>
      <c r="G54" s="20" t="s">
        <v>867</v>
      </c>
      <c r="H54" s="22" t="s">
        <v>7</v>
      </c>
      <c r="I54" s="135" t="s">
        <v>1296</v>
      </c>
      <c r="J54" s="136"/>
      <c r="K54" s="22" t="s">
        <v>894</v>
      </c>
      <c r="L54" s="19" t="s">
        <v>4</v>
      </c>
      <c r="M54" s="110" t="s">
        <v>486</v>
      </c>
      <c r="N54" s="109"/>
      <c r="O54" s="19" t="s">
        <v>289</v>
      </c>
    </row>
    <row r="55" spans="1:15" ht="11.4" customHeight="1" x14ac:dyDescent="0.3">
      <c r="A55" s="107" t="s">
        <v>1209</v>
      </c>
      <c r="B55" s="108"/>
      <c r="C55" s="109"/>
      <c r="D55" s="19" t="s">
        <v>550</v>
      </c>
      <c r="E55" s="21" t="s">
        <v>1297</v>
      </c>
      <c r="F55" s="20" t="s">
        <v>1205</v>
      </c>
      <c r="G55" s="22" t="s">
        <v>420</v>
      </c>
      <c r="H55" s="20" t="s">
        <v>7</v>
      </c>
      <c r="I55" s="135" t="s">
        <v>533</v>
      </c>
      <c r="J55" s="136"/>
      <c r="K55" s="20" t="s">
        <v>1005</v>
      </c>
      <c r="L55" s="21" t="s">
        <v>4</v>
      </c>
      <c r="M55" s="110" t="s">
        <v>486</v>
      </c>
      <c r="N55" s="109"/>
      <c r="O55" s="23" t="s">
        <v>289</v>
      </c>
    </row>
    <row r="56" spans="1:15" ht="11.4" customHeight="1" x14ac:dyDescent="0.3">
      <c r="A56" s="110" t="s">
        <v>1209</v>
      </c>
      <c r="B56" s="108"/>
      <c r="C56" s="109"/>
      <c r="D56" s="21" t="s">
        <v>481</v>
      </c>
      <c r="E56" s="19" t="s">
        <v>1298</v>
      </c>
      <c r="F56" s="22" t="s">
        <v>626</v>
      </c>
      <c r="G56" s="20" t="s">
        <v>380</v>
      </c>
      <c r="H56" s="22" t="s">
        <v>7</v>
      </c>
      <c r="I56" s="135" t="s">
        <v>454</v>
      </c>
      <c r="J56" s="136"/>
      <c r="K56" s="22" t="s">
        <v>637</v>
      </c>
      <c r="L56" s="19" t="s">
        <v>4</v>
      </c>
      <c r="M56" s="110" t="s">
        <v>486</v>
      </c>
      <c r="N56" s="109"/>
      <c r="O56" s="19" t="s">
        <v>309</v>
      </c>
    </row>
    <row r="57" spans="1:15" ht="11.4" customHeight="1" x14ac:dyDescent="0.3">
      <c r="A57" s="107" t="s">
        <v>1209</v>
      </c>
      <c r="B57" s="108"/>
      <c r="C57" s="109"/>
      <c r="D57" s="19" t="s">
        <v>498</v>
      </c>
      <c r="E57" s="21" t="s">
        <v>1299</v>
      </c>
      <c r="F57" s="20" t="s">
        <v>1300</v>
      </c>
      <c r="G57" s="22" t="s">
        <v>484</v>
      </c>
      <c r="H57" s="20" t="s">
        <v>7</v>
      </c>
      <c r="I57" s="135" t="s">
        <v>1301</v>
      </c>
      <c r="J57" s="136"/>
      <c r="K57" s="20" t="s">
        <v>1005</v>
      </c>
      <c r="L57" s="21" t="s">
        <v>4</v>
      </c>
      <c r="M57" s="110" t="s">
        <v>486</v>
      </c>
      <c r="N57" s="109"/>
      <c r="O57" s="23" t="s">
        <v>289</v>
      </c>
    </row>
    <row r="58" spans="1:15" ht="11.4" customHeight="1" x14ac:dyDescent="0.3">
      <c r="A58" s="110" t="s">
        <v>1209</v>
      </c>
      <c r="B58" s="108"/>
      <c r="C58" s="109"/>
      <c r="D58" s="21" t="s">
        <v>566</v>
      </c>
      <c r="E58" s="19" t="s">
        <v>1302</v>
      </c>
      <c r="F58" s="22" t="s">
        <v>1303</v>
      </c>
      <c r="G58" s="20" t="s">
        <v>1255</v>
      </c>
      <c r="H58" s="22" t="s">
        <v>7</v>
      </c>
      <c r="I58" s="135" t="s">
        <v>1009</v>
      </c>
      <c r="J58" s="136"/>
      <c r="K58" s="22" t="s">
        <v>1304</v>
      </c>
      <c r="L58" s="19" t="s">
        <v>4</v>
      </c>
      <c r="M58" s="110" t="s">
        <v>486</v>
      </c>
      <c r="N58" s="109"/>
      <c r="O58" s="19" t="s">
        <v>309</v>
      </c>
    </row>
    <row r="59" spans="1:15" ht="11.4" customHeight="1" x14ac:dyDescent="0.3">
      <c r="A59" s="107" t="s">
        <v>1209</v>
      </c>
      <c r="B59" s="108"/>
      <c r="C59" s="109"/>
      <c r="D59" s="19" t="s">
        <v>522</v>
      </c>
      <c r="E59" s="21" t="s">
        <v>1305</v>
      </c>
      <c r="F59" s="20" t="s">
        <v>1306</v>
      </c>
      <c r="G59" s="22" t="s">
        <v>664</v>
      </c>
      <c r="H59" s="20" t="s">
        <v>7</v>
      </c>
      <c r="I59" s="122" t="s">
        <v>1307</v>
      </c>
      <c r="J59" s="123"/>
      <c r="K59" s="20" t="s">
        <v>565</v>
      </c>
      <c r="L59" s="25" t="s">
        <v>4</v>
      </c>
      <c r="M59" s="110" t="s">
        <v>486</v>
      </c>
      <c r="N59" s="109"/>
      <c r="O59" s="26" t="s">
        <v>309</v>
      </c>
    </row>
    <row r="60" spans="1:15" ht="11.4" customHeight="1" x14ac:dyDescent="0.3">
      <c r="A60" s="110" t="s">
        <v>1209</v>
      </c>
      <c r="B60" s="108"/>
      <c r="C60" s="109"/>
      <c r="D60" s="25" t="s">
        <v>412</v>
      </c>
      <c r="E60" s="19" t="s">
        <v>1308</v>
      </c>
      <c r="F60" s="24" t="s">
        <v>1309</v>
      </c>
      <c r="G60" s="20" t="s">
        <v>882</v>
      </c>
      <c r="H60" s="24" t="s">
        <v>7</v>
      </c>
      <c r="I60" s="117" t="s">
        <v>1310</v>
      </c>
      <c r="J60" s="118"/>
      <c r="K60" s="24" t="s">
        <v>485</v>
      </c>
      <c r="L60" s="9" t="s">
        <v>4</v>
      </c>
      <c r="M60" s="116" t="s">
        <v>486</v>
      </c>
      <c r="N60" s="93"/>
      <c r="O60" s="9" t="s">
        <v>309</v>
      </c>
    </row>
    <row r="61" spans="1:15" ht="11.4" customHeight="1" x14ac:dyDescent="0.3">
      <c r="A61" s="121" t="s">
        <v>1209</v>
      </c>
      <c r="B61" s="92"/>
      <c r="C61" s="93"/>
      <c r="D61" s="9" t="s">
        <v>487</v>
      </c>
      <c r="E61" s="25" t="s">
        <v>1311</v>
      </c>
      <c r="F61" s="11" t="s">
        <v>1309</v>
      </c>
      <c r="G61" s="24" t="s">
        <v>830</v>
      </c>
      <c r="H61" s="11" t="s">
        <v>7</v>
      </c>
      <c r="I61" s="117" t="s">
        <v>766</v>
      </c>
      <c r="J61" s="118"/>
      <c r="K61" s="11" t="s">
        <v>530</v>
      </c>
      <c r="L61" s="14" t="s">
        <v>4</v>
      </c>
      <c r="M61" s="88" t="s">
        <v>486</v>
      </c>
      <c r="N61" s="85"/>
      <c r="O61" s="16" t="s">
        <v>289</v>
      </c>
    </row>
    <row r="62" spans="1:15" ht="11.4" customHeight="1" x14ac:dyDescent="0.3">
      <c r="A62" s="88" t="s">
        <v>1209</v>
      </c>
      <c r="B62" s="84"/>
      <c r="C62" s="85"/>
      <c r="D62" s="8" t="s">
        <v>535</v>
      </c>
      <c r="E62" s="9" t="s">
        <v>1312</v>
      </c>
      <c r="F62" s="10" t="s">
        <v>670</v>
      </c>
      <c r="G62" s="11" t="s">
        <v>1313</v>
      </c>
      <c r="H62" s="10" t="s">
        <v>7</v>
      </c>
      <c r="I62" s="117" t="s">
        <v>376</v>
      </c>
      <c r="J62" s="118"/>
      <c r="K62" s="10" t="s">
        <v>527</v>
      </c>
      <c r="L62" s="9" t="s">
        <v>4</v>
      </c>
      <c r="M62" s="105" t="s">
        <v>486</v>
      </c>
      <c r="N62" s="106"/>
      <c r="O62" s="9" t="s">
        <v>309</v>
      </c>
    </row>
    <row r="63" spans="1:15" ht="14.25" customHeight="1" x14ac:dyDescent="0.3"/>
    <row r="64" spans="1:15" ht="14.25" customHeight="1" x14ac:dyDescent="0.3">
      <c r="A64" s="126" t="s">
        <v>1314</v>
      </c>
      <c r="B64" s="81"/>
      <c r="C64" s="81"/>
      <c r="D64" s="81"/>
      <c r="E64" s="81"/>
      <c r="F64" s="81"/>
      <c r="G64" s="81"/>
      <c r="H64" s="81"/>
      <c r="I64" s="81"/>
      <c r="J64" s="127" t="s">
        <v>516</v>
      </c>
      <c r="K64" s="81"/>
      <c r="L64" s="81"/>
      <c r="M64" s="81"/>
      <c r="N64" s="81"/>
      <c r="O64" s="81"/>
    </row>
    <row r="65" spans="1:15" ht="0.6" customHeight="1" x14ac:dyDescent="0.3"/>
    <row r="66" spans="1:15" ht="11.4" customHeight="1" x14ac:dyDescent="0.3">
      <c r="A66" s="121" t="s">
        <v>1209</v>
      </c>
      <c r="B66" s="92"/>
      <c r="C66" s="93"/>
      <c r="D66" s="9" t="s">
        <v>540</v>
      </c>
      <c r="E66" s="25" t="s">
        <v>1315</v>
      </c>
      <c r="F66" s="11" t="s">
        <v>1226</v>
      </c>
      <c r="G66" s="24" t="s">
        <v>380</v>
      </c>
      <c r="H66" s="11" t="s">
        <v>7</v>
      </c>
      <c r="I66" s="122" t="s">
        <v>513</v>
      </c>
      <c r="J66" s="123"/>
      <c r="K66" s="11" t="s">
        <v>530</v>
      </c>
      <c r="L66" s="25" t="s">
        <v>4</v>
      </c>
      <c r="M66" s="88" t="s">
        <v>486</v>
      </c>
      <c r="N66" s="85"/>
      <c r="O66" s="26" t="s">
        <v>309</v>
      </c>
    </row>
    <row r="67" spans="1:15" ht="11.4" customHeight="1" x14ac:dyDescent="0.3">
      <c r="A67" s="88" t="s">
        <v>1209</v>
      </c>
      <c r="B67" s="84"/>
      <c r="C67" s="85"/>
      <c r="D67" s="14" t="s">
        <v>510</v>
      </c>
      <c r="E67" s="9" t="s">
        <v>1316</v>
      </c>
      <c r="F67" s="15" t="s">
        <v>937</v>
      </c>
      <c r="G67" s="11" t="s">
        <v>854</v>
      </c>
      <c r="H67" s="15" t="s">
        <v>7</v>
      </c>
      <c r="I67" s="117" t="s">
        <v>1317</v>
      </c>
      <c r="J67" s="118"/>
      <c r="K67" s="15" t="s">
        <v>637</v>
      </c>
      <c r="L67" s="9" t="s">
        <v>4</v>
      </c>
      <c r="M67" s="88" t="s">
        <v>486</v>
      </c>
      <c r="N67" s="85"/>
      <c r="O67" s="9" t="s">
        <v>289</v>
      </c>
    </row>
    <row r="68" spans="1:15" ht="11.4" customHeight="1" x14ac:dyDescent="0.3">
      <c r="A68" s="101" t="s">
        <v>1209</v>
      </c>
      <c r="B68" s="84"/>
      <c r="C68" s="85"/>
      <c r="D68" s="9" t="s">
        <v>517</v>
      </c>
      <c r="E68" s="14" t="s">
        <v>1318</v>
      </c>
      <c r="F68" s="11" t="s">
        <v>823</v>
      </c>
      <c r="G68" s="15" t="s">
        <v>432</v>
      </c>
      <c r="H68" s="11" t="s">
        <v>7</v>
      </c>
      <c r="I68" s="117" t="s">
        <v>520</v>
      </c>
      <c r="J68" s="118"/>
      <c r="K68" s="11" t="s">
        <v>570</v>
      </c>
      <c r="L68" s="14" t="s">
        <v>4</v>
      </c>
      <c r="M68" s="88" t="s">
        <v>486</v>
      </c>
      <c r="N68" s="85"/>
      <c r="O68" s="16" t="s">
        <v>289</v>
      </c>
    </row>
    <row r="69" spans="1:15" ht="11.4" customHeight="1" x14ac:dyDescent="0.3">
      <c r="A69" s="88" t="s">
        <v>1209</v>
      </c>
      <c r="B69" s="84"/>
      <c r="C69" s="85"/>
      <c r="D69" s="14" t="s">
        <v>948</v>
      </c>
      <c r="E69" s="9" t="s">
        <v>1319</v>
      </c>
      <c r="F69" s="15" t="s">
        <v>1320</v>
      </c>
      <c r="G69" s="11" t="s">
        <v>1035</v>
      </c>
      <c r="H69" s="15" t="s">
        <v>7</v>
      </c>
      <c r="I69" s="117" t="s">
        <v>917</v>
      </c>
      <c r="J69" s="118"/>
      <c r="K69" s="15" t="s">
        <v>1321</v>
      </c>
      <c r="L69" s="9" t="s">
        <v>4</v>
      </c>
      <c r="M69" s="88" t="s">
        <v>486</v>
      </c>
      <c r="N69" s="85"/>
      <c r="O69" s="9" t="s">
        <v>289</v>
      </c>
    </row>
    <row r="70" spans="1:15" ht="11.4" customHeight="1" x14ac:dyDescent="0.3">
      <c r="A70" s="101" t="s">
        <v>1209</v>
      </c>
      <c r="B70" s="84"/>
      <c r="C70" s="85"/>
      <c r="D70" s="9" t="s">
        <v>504</v>
      </c>
      <c r="E70" s="14" t="s">
        <v>1322</v>
      </c>
      <c r="F70" s="11" t="s">
        <v>1323</v>
      </c>
      <c r="G70" s="15" t="s">
        <v>1324</v>
      </c>
      <c r="H70" s="11" t="s">
        <v>7</v>
      </c>
      <c r="I70" s="117" t="s">
        <v>1325</v>
      </c>
      <c r="J70" s="118"/>
      <c r="K70" s="11" t="s">
        <v>1037</v>
      </c>
      <c r="L70" s="14" t="s">
        <v>4</v>
      </c>
      <c r="M70" s="88" t="s">
        <v>486</v>
      </c>
      <c r="N70" s="85"/>
      <c r="O70" s="16" t="s">
        <v>309</v>
      </c>
    </row>
    <row r="71" spans="1:15" ht="11.4" customHeight="1" x14ac:dyDescent="0.3">
      <c r="A71" s="88" t="s">
        <v>1209</v>
      </c>
      <c r="B71" s="84"/>
      <c r="C71" s="85"/>
      <c r="D71" s="8" t="s">
        <v>550</v>
      </c>
      <c r="E71" s="9" t="s">
        <v>1326</v>
      </c>
      <c r="F71" s="10" t="s">
        <v>1327</v>
      </c>
      <c r="G71" s="11" t="s">
        <v>625</v>
      </c>
      <c r="H71" s="11" t="s">
        <v>7</v>
      </c>
      <c r="I71" s="117" t="s">
        <v>1328</v>
      </c>
      <c r="J71" s="118"/>
      <c r="K71" s="11" t="s">
        <v>492</v>
      </c>
      <c r="L71" s="9" t="s">
        <v>4</v>
      </c>
      <c r="M71" s="88" t="s">
        <v>486</v>
      </c>
      <c r="N71" s="85"/>
      <c r="O71" s="9" t="s">
        <v>289</v>
      </c>
    </row>
    <row r="72" spans="1:15" ht="2.85" customHeight="1" x14ac:dyDescent="0.3"/>
    <row r="73" spans="1:15" ht="11.4" customHeight="1" x14ac:dyDescent="0.3">
      <c r="A73" s="94" t="s">
        <v>612</v>
      </c>
      <c r="B73" s="81"/>
      <c r="C73" s="81"/>
      <c r="D73" s="81"/>
      <c r="E73" s="81"/>
      <c r="F73" s="81"/>
      <c r="G73" s="81"/>
      <c r="H73" s="12" t="s">
        <v>9</v>
      </c>
      <c r="I73" s="142" t="s">
        <v>1329</v>
      </c>
      <c r="J73" s="143"/>
      <c r="K73" s="97" t="s">
        <v>291</v>
      </c>
      <c r="L73" s="81"/>
      <c r="M73" s="81"/>
      <c r="N73" s="97" t="s">
        <v>292</v>
      </c>
      <c r="O73" s="81"/>
    </row>
    <row r="74" spans="1:15" ht="11.4" customHeight="1" x14ac:dyDescent="0.3">
      <c r="F74" s="97" t="s">
        <v>293</v>
      </c>
      <c r="G74" s="81"/>
      <c r="H74" s="13" t="s">
        <v>9</v>
      </c>
      <c r="I74" s="144" t="s">
        <v>1330</v>
      </c>
      <c r="J74" s="145"/>
      <c r="K74" s="100" t="s">
        <v>295</v>
      </c>
      <c r="L74" s="81"/>
      <c r="M74" s="81"/>
      <c r="N74" s="100" t="s">
        <v>295</v>
      </c>
      <c r="O74" s="81"/>
    </row>
    <row r="75" spans="1:15" ht="408.9" customHeight="1" x14ac:dyDescent="0.3"/>
    <row r="76" spans="1:15" ht="278.10000000000002" customHeight="1" x14ac:dyDescent="0.3"/>
    <row r="77" spans="1:15" ht="14.25" customHeight="1" x14ac:dyDescent="0.3">
      <c r="A77" s="126" t="s">
        <v>1314</v>
      </c>
      <c r="B77" s="81"/>
      <c r="C77" s="81"/>
      <c r="D77" s="81"/>
      <c r="E77" s="81"/>
      <c r="F77" s="81"/>
      <c r="G77" s="81"/>
      <c r="H77" s="81"/>
      <c r="I77" s="81"/>
      <c r="J77" s="127" t="s">
        <v>615</v>
      </c>
      <c r="K77" s="81"/>
      <c r="L77" s="81"/>
      <c r="M77" s="81"/>
      <c r="N77" s="81"/>
      <c r="O77" s="81"/>
    </row>
    <row r="78" spans="1:15" ht="11.4" customHeight="1" x14ac:dyDescent="0.3"/>
  </sheetData>
  <mergeCells count="190">
    <mergeCell ref="A77:I77"/>
    <mergeCell ref="J77:O77"/>
    <mergeCell ref="A73:G73"/>
    <mergeCell ref="I73:J73"/>
    <mergeCell ref="K73:M73"/>
    <mergeCell ref="N73:O73"/>
    <mergeCell ref="F74:G74"/>
    <mergeCell ref="I74:J74"/>
    <mergeCell ref="K74:M74"/>
    <mergeCell ref="N74:O74"/>
    <mergeCell ref="A70:C70"/>
    <mergeCell ref="I70:J70"/>
    <mergeCell ref="M70:N70"/>
    <mergeCell ref="A71:C71"/>
    <mergeCell ref="I71:J71"/>
    <mergeCell ref="M71:N71"/>
    <mergeCell ref="A68:C68"/>
    <mergeCell ref="I68:J68"/>
    <mergeCell ref="M68:N68"/>
    <mergeCell ref="A69:C69"/>
    <mergeCell ref="I69:J69"/>
    <mergeCell ref="M69:N69"/>
    <mergeCell ref="A64:I64"/>
    <mergeCell ref="J64:O64"/>
    <mergeCell ref="A66:C66"/>
    <mergeCell ref="I66:J66"/>
    <mergeCell ref="M66:N66"/>
    <mergeCell ref="A67:C67"/>
    <mergeCell ref="I67:J67"/>
    <mergeCell ref="M67:N67"/>
    <mergeCell ref="A61:C61"/>
    <mergeCell ref="I61:J61"/>
    <mergeCell ref="M61:N61"/>
    <mergeCell ref="A62:C62"/>
    <mergeCell ref="I62:J62"/>
    <mergeCell ref="M62:N62"/>
    <mergeCell ref="A59:C59"/>
    <mergeCell ref="I59:J59"/>
    <mergeCell ref="M59:N59"/>
    <mergeCell ref="A60:C60"/>
    <mergeCell ref="I60:J60"/>
    <mergeCell ref="M60:N60"/>
    <mergeCell ref="A57:C57"/>
    <mergeCell ref="I57:J57"/>
    <mergeCell ref="M57:N57"/>
    <mergeCell ref="A58:C58"/>
    <mergeCell ref="I58:J58"/>
    <mergeCell ref="M58:N58"/>
    <mergeCell ref="A55:C55"/>
    <mergeCell ref="I55:J55"/>
    <mergeCell ref="M55:N55"/>
    <mergeCell ref="A56:C56"/>
    <mergeCell ref="I56:J56"/>
    <mergeCell ref="M56:N56"/>
    <mergeCell ref="A53:C53"/>
    <mergeCell ref="I53:J53"/>
    <mergeCell ref="M53:N53"/>
    <mergeCell ref="A54:C54"/>
    <mergeCell ref="I54:J54"/>
    <mergeCell ref="M54:N54"/>
    <mergeCell ref="A51:C51"/>
    <mergeCell ref="I51:J51"/>
    <mergeCell ref="M51:N51"/>
    <mergeCell ref="A52:C52"/>
    <mergeCell ref="I52:J52"/>
    <mergeCell ref="M52:N52"/>
    <mergeCell ref="A49:C49"/>
    <mergeCell ref="I49:J49"/>
    <mergeCell ref="M49:N49"/>
    <mergeCell ref="A50:C50"/>
    <mergeCell ref="I50:J50"/>
    <mergeCell ref="M50:N50"/>
    <mergeCell ref="A47:C47"/>
    <mergeCell ref="I47:J47"/>
    <mergeCell ref="M47:N47"/>
    <mergeCell ref="A48:C48"/>
    <mergeCell ref="I48:J48"/>
    <mergeCell ref="M48:N48"/>
    <mergeCell ref="A44:G44"/>
    <mergeCell ref="I44:J44"/>
    <mergeCell ref="K44:M44"/>
    <mergeCell ref="N44:O44"/>
    <mergeCell ref="F45:G45"/>
    <mergeCell ref="I45:J45"/>
    <mergeCell ref="K45:M45"/>
    <mergeCell ref="N45:O45"/>
    <mergeCell ref="A41:C41"/>
    <mergeCell ref="I41:J41"/>
    <mergeCell ref="M41:N41"/>
    <mergeCell ref="A42:C42"/>
    <mergeCell ref="I42:J42"/>
    <mergeCell ref="M42:N42"/>
    <mergeCell ref="A39:C39"/>
    <mergeCell ref="I39:J39"/>
    <mergeCell ref="M39:N39"/>
    <mergeCell ref="A40:C40"/>
    <mergeCell ref="I40:J40"/>
    <mergeCell ref="M40:N40"/>
    <mergeCell ref="A37:C37"/>
    <mergeCell ref="I37:J37"/>
    <mergeCell ref="M37:N37"/>
    <mergeCell ref="A38:C38"/>
    <mergeCell ref="I38:J38"/>
    <mergeCell ref="M38:N38"/>
    <mergeCell ref="A35:C35"/>
    <mergeCell ref="I35:J35"/>
    <mergeCell ref="M35:N35"/>
    <mergeCell ref="A36:C36"/>
    <mergeCell ref="I36:J36"/>
    <mergeCell ref="M36:N36"/>
    <mergeCell ref="A33:C33"/>
    <mergeCell ref="I33:J33"/>
    <mergeCell ref="M33:N33"/>
    <mergeCell ref="A34:C34"/>
    <mergeCell ref="I34:J34"/>
    <mergeCell ref="M34:N34"/>
    <mergeCell ref="A31:C31"/>
    <mergeCell ref="I31:J31"/>
    <mergeCell ref="M31:N31"/>
    <mergeCell ref="A32:C32"/>
    <mergeCell ref="I32:J32"/>
    <mergeCell ref="M32:N32"/>
    <mergeCell ref="A29:C29"/>
    <mergeCell ref="I29:J29"/>
    <mergeCell ref="M29:N29"/>
    <mergeCell ref="A30:C30"/>
    <mergeCell ref="I30:J30"/>
    <mergeCell ref="M30:N30"/>
    <mergeCell ref="A26:G26"/>
    <mergeCell ref="I26:J26"/>
    <mergeCell ref="K26:M26"/>
    <mergeCell ref="N26:O26"/>
    <mergeCell ref="F27:G27"/>
    <mergeCell ref="I27:J27"/>
    <mergeCell ref="K27:M27"/>
    <mergeCell ref="N27:O27"/>
    <mergeCell ref="A23:C23"/>
    <mergeCell ref="I23:J23"/>
    <mergeCell ref="M23:N23"/>
    <mergeCell ref="A24:C24"/>
    <mergeCell ref="I24:J24"/>
    <mergeCell ref="M24:N24"/>
    <mergeCell ref="A21:C21"/>
    <mergeCell ref="I21:J21"/>
    <mergeCell ref="M21:N21"/>
    <mergeCell ref="A22:C22"/>
    <mergeCell ref="I22:J22"/>
    <mergeCell ref="M22:N22"/>
    <mergeCell ref="F18:G18"/>
    <mergeCell ref="I18:J18"/>
    <mergeCell ref="K18:M18"/>
    <mergeCell ref="N18:O18"/>
    <mergeCell ref="A20:C20"/>
    <mergeCell ref="I20:J20"/>
    <mergeCell ref="M20:N20"/>
    <mergeCell ref="A15:C15"/>
    <mergeCell ref="I15:J15"/>
    <mergeCell ref="M15:N15"/>
    <mergeCell ref="A17:G17"/>
    <mergeCell ref="I17:J17"/>
    <mergeCell ref="K17:M17"/>
    <mergeCell ref="N17:O17"/>
    <mergeCell ref="A13:C13"/>
    <mergeCell ref="I13:J13"/>
    <mergeCell ref="M13:N13"/>
    <mergeCell ref="A14:C14"/>
    <mergeCell ref="I14:J14"/>
    <mergeCell ref="M14:N14"/>
    <mergeCell ref="F10:G10"/>
    <mergeCell ref="I10:J10"/>
    <mergeCell ref="K10:M10"/>
    <mergeCell ref="N10:O10"/>
    <mergeCell ref="A12:C12"/>
    <mergeCell ref="I12:J12"/>
    <mergeCell ref="M12:N12"/>
    <mergeCell ref="A7:C7"/>
    <mergeCell ref="I7:J7"/>
    <mergeCell ref="M7:N7"/>
    <mergeCell ref="A9:G9"/>
    <mergeCell ref="I9:J9"/>
    <mergeCell ref="K9:M9"/>
    <mergeCell ref="N9:O9"/>
    <mergeCell ref="A1:O1"/>
    <mergeCell ref="C3:O3"/>
    <mergeCell ref="A5:C5"/>
    <mergeCell ref="I5:J5"/>
    <mergeCell ref="M5:N5"/>
    <mergeCell ref="A6:C6"/>
    <mergeCell ref="I6:J6"/>
    <mergeCell ref="M6:N6"/>
  </mergeCells>
  <pageMargins left="0.3611111111111111" right="0.3611111111111111" top="0.3611111111111111" bottom="0.3611111111111111" header="0.3" footer="0.3"/>
  <pageSetup orientation="portrait" r:id="rId1"/>
  <rowBreaks count="2" manualBreakCount="2">
    <brk id="65" max="16383" man="1"/>
    <brk id="7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topLeftCell="A22" workbookViewId="0">
      <selection activeCell="I58" sqref="I58:J58"/>
    </sheetView>
  </sheetViews>
  <sheetFormatPr defaultColWidth="9.109375" defaultRowHeight="14.4" x14ac:dyDescent="0.3"/>
  <cols>
    <col min="1" max="1" width="11.109375" style="3" customWidth="1"/>
    <col min="2" max="3" width="0.88671875" style="3" customWidth="1"/>
    <col min="4" max="4" width="12.5546875" style="3" customWidth="1"/>
    <col min="5" max="5" width="10.109375" style="3" customWidth="1"/>
    <col min="6" max="8" width="7.88671875" style="3" customWidth="1"/>
    <col min="9" max="9" width="4.44140625" style="3" customWidth="1"/>
    <col min="10" max="10" width="4" style="3" customWidth="1"/>
    <col min="11" max="12" width="7.33203125" style="3" customWidth="1"/>
    <col min="13" max="13" width="1.5546875" style="3" customWidth="1"/>
    <col min="14" max="14" width="7.88671875" style="3" customWidth="1"/>
    <col min="15" max="15" width="8.33203125" style="3" customWidth="1"/>
    <col min="16" max="256" width="9.109375" style="3"/>
    <col min="257" max="257" width="11.109375" style="3" customWidth="1"/>
    <col min="258" max="259" width="0.88671875" style="3" customWidth="1"/>
    <col min="260" max="260" width="12.5546875" style="3" customWidth="1"/>
    <col min="261" max="261" width="10.109375" style="3" customWidth="1"/>
    <col min="262" max="264" width="7.88671875" style="3" customWidth="1"/>
    <col min="265" max="265" width="4.44140625" style="3" customWidth="1"/>
    <col min="266" max="266" width="4" style="3" customWidth="1"/>
    <col min="267" max="268" width="7.33203125" style="3" customWidth="1"/>
    <col min="269" max="269" width="1.5546875" style="3" customWidth="1"/>
    <col min="270" max="270" width="7.88671875" style="3" customWidth="1"/>
    <col min="271" max="271" width="8.33203125" style="3" customWidth="1"/>
    <col min="272" max="512" width="9.109375" style="3"/>
    <col min="513" max="513" width="11.109375" style="3" customWidth="1"/>
    <col min="514" max="515" width="0.88671875" style="3" customWidth="1"/>
    <col min="516" max="516" width="12.5546875" style="3" customWidth="1"/>
    <col min="517" max="517" width="10.109375" style="3" customWidth="1"/>
    <col min="518" max="520" width="7.88671875" style="3" customWidth="1"/>
    <col min="521" max="521" width="4.44140625" style="3" customWidth="1"/>
    <col min="522" max="522" width="4" style="3" customWidth="1"/>
    <col min="523" max="524" width="7.33203125" style="3" customWidth="1"/>
    <col min="525" max="525" width="1.5546875" style="3" customWidth="1"/>
    <col min="526" max="526" width="7.88671875" style="3" customWidth="1"/>
    <col min="527" max="527" width="8.33203125" style="3" customWidth="1"/>
    <col min="528" max="768" width="9.109375" style="3"/>
    <col min="769" max="769" width="11.109375" style="3" customWidth="1"/>
    <col min="770" max="771" width="0.88671875" style="3" customWidth="1"/>
    <col min="772" max="772" width="12.5546875" style="3" customWidth="1"/>
    <col min="773" max="773" width="10.109375" style="3" customWidth="1"/>
    <col min="774" max="776" width="7.88671875" style="3" customWidth="1"/>
    <col min="777" max="777" width="4.44140625" style="3" customWidth="1"/>
    <col min="778" max="778" width="4" style="3" customWidth="1"/>
    <col min="779" max="780" width="7.33203125" style="3" customWidth="1"/>
    <col min="781" max="781" width="1.5546875" style="3" customWidth="1"/>
    <col min="782" max="782" width="7.88671875" style="3" customWidth="1"/>
    <col min="783" max="783" width="8.33203125" style="3" customWidth="1"/>
    <col min="784" max="1024" width="9.109375" style="3"/>
    <col min="1025" max="1025" width="11.109375" style="3" customWidth="1"/>
    <col min="1026" max="1027" width="0.88671875" style="3" customWidth="1"/>
    <col min="1028" max="1028" width="12.5546875" style="3" customWidth="1"/>
    <col min="1029" max="1029" width="10.109375" style="3" customWidth="1"/>
    <col min="1030" max="1032" width="7.88671875" style="3" customWidth="1"/>
    <col min="1033" max="1033" width="4.44140625" style="3" customWidth="1"/>
    <col min="1034" max="1034" width="4" style="3" customWidth="1"/>
    <col min="1035" max="1036" width="7.33203125" style="3" customWidth="1"/>
    <col min="1037" max="1037" width="1.5546875" style="3" customWidth="1"/>
    <col min="1038" max="1038" width="7.88671875" style="3" customWidth="1"/>
    <col min="1039" max="1039" width="8.33203125" style="3" customWidth="1"/>
    <col min="1040" max="1280" width="9.109375" style="3"/>
    <col min="1281" max="1281" width="11.109375" style="3" customWidth="1"/>
    <col min="1282" max="1283" width="0.88671875" style="3" customWidth="1"/>
    <col min="1284" max="1284" width="12.5546875" style="3" customWidth="1"/>
    <col min="1285" max="1285" width="10.109375" style="3" customWidth="1"/>
    <col min="1286" max="1288" width="7.88671875" style="3" customWidth="1"/>
    <col min="1289" max="1289" width="4.44140625" style="3" customWidth="1"/>
    <col min="1290" max="1290" width="4" style="3" customWidth="1"/>
    <col min="1291" max="1292" width="7.33203125" style="3" customWidth="1"/>
    <col min="1293" max="1293" width="1.5546875" style="3" customWidth="1"/>
    <col min="1294" max="1294" width="7.88671875" style="3" customWidth="1"/>
    <col min="1295" max="1295" width="8.33203125" style="3" customWidth="1"/>
    <col min="1296" max="1536" width="9.109375" style="3"/>
    <col min="1537" max="1537" width="11.109375" style="3" customWidth="1"/>
    <col min="1538" max="1539" width="0.88671875" style="3" customWidth="1"/>
    <col min="1540" max="1540" width="12.5546875" style="3" customWidth="1"/>
    <col min="1541" max="1541" width="10.109375" style="3" customWidth="1"/>
    <col min="1542" max="1544" width="7.88671875" style="3" customWidth="1"/>
    <col min="1545" max="1545" width="4.44140625" style="3" customWidth="1"/>
    <col min="1546" max="1546" width="4" style="3" customWidth="1"/>
    <col min="1547" max="1548" width="7.33203125" style="3" customWidth="1"/>
    <col min="1549" max="1549" width="1.5546875" style="3" customWidth="1"/>
    <col min="1550" max="1550" width="7.88671875" style="3" customWidth="1"/>
    <col min="1551" max="1551" width="8.33203125" style="3" customWidth="1"/>
    <col min="1552" max="1792" width="9.109375" style="3"/>
    <col min="1793" max="1793" width="11.109375" style="3" customWidth="1"/>
    <col min="1794" max="1795" width="0.88671875" style="3" customWidth="1"/>
    <col min="1796" max="1796" width="12.5546875" style="3" customWidth="1"/>
    <col min="1797" max="1797" width="10.109375" style="3" customWidth="1"/>
    <col min="1798" max="1800" width="7.88671875" style="3" customWidth="1"/>
    <col min="1801" max="1801" width="4.44140625" style="3" customWidth="1"/>
    <col min="1802" max="1802" width="4" style="3" customWidth="1"/>
    <col min="1803" max="1804" width="7.33203125" style="3" customWidth="1"/>
    <col min="1805" max="1805" width="1.5546875" style="3" customWidth="1"/>
    <col min="1806" max="1806" width="7.88671875" style="3" customWidth="1"/>
    <col min="1807" max="1807" width="8.33203125" style="3" customWidth="1"/>
    <col min="1808" max="2048" width="9.109375" style="3"/>
    <col min="2049" max="2049" width="11.109375" style="3" customWidth="1"/>
    <col min="2050" max="2051" width="0.88671875" style="3" customWidth="1"/>
    <col min="2052" max="2052" width="12.5546875" style="3" customWidth="1"/>
    <col min="2053" max="2053" width="10.109375" style="3" customWidth="1"/>
    <col min="2054" max="2056" width="7.88671875" style="3" customWidth="1"/>
    <col min="2057" max="2057" width="4.44140625" style="3" customWidth="1"/>
    <col min="2058" max="2058" width="4" style="3" customWidth="1"/>
    <col min="2059" max="2060" width="7.33203125" style="3" customWidth="1"/>
    <col min="2061" max="2061" width="1.5546875" style="3" customWidth="1"/>
    <col min="2062" max="2062" width="7.88671875" style="3" customWidth="1"/>
    <col min="2063" max="2063" width="8.33203125" style="3" customWidth="1"/>
    <col min="2064" max="2304" width="9.109375" style="3"/>
    <col min="2305" max="2305" width="11.109375" style="3" customWidth="1"/>
    <col min="2306" max="2307" width="0.88671875" style="3" customWidth="1"/>
    <col min="2308" max="2308" width="12.5546875" style="3" customWidth="1"/>
    <col min="2309" max="2309" width="10.109375" style="3" customWidth="1"/>
    <col min="2310" max="2312" width="7.88671875" style="3" customWidth="1"/>
    <col min="2313" max="2313" width="4.44140625" style="3" customWidth="1"/>
    <col min="2314" max="2314" width="4" style="3" customWidth="1"/>
    <col min="2315" max="2316" width="7.33203125" style="3" customWidth="1"/>
    <col min="2317" max="2317" width="1.5546875" style="3" customWidth="1"/>
    <col min="2318" max="2318" width="7.88671875" style="3" customWidth="1"/>
    <col min="2319" max="2319" width="8.33203125" style="3" customWidth="1"/>
    <col min="2320" max="2560" width="9.109375" style="3"/>
    <col min="2561" max="2561" width="11.109375" style="3" customWidth="1"/>
    <col min="2562" max="2563" width="0.88671875" style="3" customWidth="1"/>
    <col min="2564" max="2564" width="12.5546875" style="3" customWidth="1"/>
    <col min="2565" max="2565" width="10.109375" style="3" customWidth="1"/>
    <col min="2566" max="2568" width="7.88671875" style="3" customWidth="1"/>
    <col min="2569" max="2569" width="4.44140625" style="3" customWidth="1"/>
    <col min="2570" max="2570" width="4" style="3" customWidth="1"/>
    <col min="2571" max="2572" width="7.33203125" style="3" customWidth="1"/>
    <col min="2573" max="2573" width="1.5546875" style="3" customWidth="1"/>
    <col min="2574" max="2574" width="7.88671875" style="3" customWidth="1"/>
    <col min="2575" max="2575" width="8.33203125" style="3" customWidth="1"/>
    <col min="2576" max="2816" width="9.109375" style="3"/>
    <col min="2817" max="2817" width="11.109375" style="3" customWidth="1"/>
    <col min="2818" max="2819" width="0.88671875" style="3" customWidth="1"/>
    <col min="2820" max="2820" width="12.5546875" style="3" customWidth="1"/>
    <col min="2821" max="2821" width="10.109375" style="3" customWidth="1"/>
    <col min="2822" max="2824" width="7.88671875" style="3" customWidth="1"/>
    <col min="2825" max="2825" width="4.44140625" style="3" customWidth="1"/>
    <col min="2826" max="2826" width="4" style="3" customWidth="1"/>
    <col min="2827" max="2828" width="7.33203125" style="3" customWidth="1"/>
    <col min="2829" max="2829" width="1.5546875" style="3" customWidth="1"/>
    <col min="2830" max="2830" width="7.88671875" style="3" customWidth="1"/>
    <col min="2831" max="2831" width="8.33203125" style="3" customWidth="1"/>
    <col min="2832" max="3072" width="9.109375" style="3"/>
    <col min="3073" max="3073" width="11.109375" style="3" customWidth="1"/>
    <col min="3074" max="3075" width="0.88671875" style="3" customWidth="1"/>
    <col min="3076" max="3076" width="12.5546875" style="3" customWidth="1"/>
    <col min="3077" max="3077" width="10.109375" style="3" customWidth="1"/>
    <col min="3078" max="3080" width="7.88671875" style="3" customWidth="1"/>
    <col min="3081" max="3081" width="4.44140625" style="3" customWidth="1"/>
    <col min="3082" max="3082" width="4" style="3" customWidth="1"/>
    <col min="3083" max="3084" width="7.33203125" style="3" customWidth="1"/>
    <col min="3085" max="3085" width="1.5546875" style="3" customWidth="1"/>
    <col min="3086" max="3086" width="7.88671875" style="3" customWidth="1"/>
    <col min="3087" max="3087" width="8.33203125" style="3" customWidth="1"/>
    <col min="3088" max="3328" width="9.109375" style="3"/>
    <col min="3329" max="3329" width="11.109375" style="3" customWidth="1"/>
    <col min="3330" max="3331" width="0.88671875" style="3" customWidth="1"/>
    <col min="3332" max="3332" width="12.5546875" style="3" customWidth="1"/>
    <col min="3333" max="3333" width="10.109375" style="3" customWidth="1"/>
    <col min="3334" max="3336" width="7.88671875" style="3" customWidth="1"/>
    <col min="3337" max="3337" width="4.44140625" style="3" customWidth="1"/>
    <col min="3338" max="3338" width="4" style="3" customWidth="1"/>
    <col min="3339" max="3340" width="7.33203125" style="3" customWidth="1"/>
    <col min="3341" max="3341" width="1.5546875" style="3" customWidth="1"/>
    <col min="3342" max="3342" width="7.88671875" style="3" customWidth="1"/>
    <col min="3343" max="3343" width="8.33203125" style="3" customWidth="1"/>
    <col min="3344" max="3584" width="9.109375" style="3"/>
    <col min="3585" max="3585" width="11.109375" style="3" customWidth="1"/>
    <col min="3586" max="3587" width="0.88671875" style="3" customWidth="1"/>
    <col min="3588" max="3588" width="12.5546875" style="3" customWidth="1"/>
    <col min="3589" max="3589" width="10.109375" style="3" customWidth="1"/>
    <col min="3590" max="3592" width="7.88671875" style="3" customWidth="1"/>
    <col min="3593" max="3593" width="4.44140625" style="3" customWidth="1"/>
    <col min="3594" max="3594" width="4" style="3" customWidth="1"/>
    <col min="3595" max="3596" width="7.33203125" style="3" customWidth="1"/>
    <col min="3597" max="3597" width="1.5546875" style="3" customWidth="1"/>
    <col min="3598" max="3598" width="7.88671875" style="3" customWidth="1"/>
    <col min="3599" max="3599" width="8.33203125" style="3" customWidth="1"/>
    <col min="3600" max="3840" width="9.109375" style="3"/>
    <col min="3841" max="3841" width="11.109375" style="3" customWidth="1"/>
    <col min="3842" max="3843" width="0.88671875" style="3" customWidth="1"/>
    <col min="3844" max="3844" width="12.5546875" style="3" customWidth="1"/>
    <col min="3845" max="3845" width="10.109375" style="3" customWidth="1"/>
    <col min="3846" max="3848" width="7.88671875" style="3" customWidth="1"/>
    <col min="3849" max="3849" width="4.44140625" style="3" customWidth="1"/>
    <col min="3850" max="3850" width="4" style="3" customWidth="1"/>
    <col min="3851" max="3852" width="7.33203125" style="3" customWidth="1"/>
    <col min="3853" max="3853" width="1.5546875" style="3" customWidth="1"/>
    <col min="3854" max="3854" width="7.88671875" style="3" customWidth="1"/>
    <col min="3855" max="3855" width="8.33203125" style="3" customWidth="1"/>
    <col min="3856" max="4096" width="9.109375" style="3"/>
    <col min="4097" max="4097" width="11.109375" style="3" customWidth="1"/>
    <col min="4098" max="4099" width="0.88671875" style="3" customWidth="1"/>
    <col min="4100" max="4100" width="12.5546875" style="3" customWidth="1"/>
    <col min="4101" max="4101" width="10.109375" style="3" customWidth="1"/>
    <col min="4102" max="4104" width="7.88671875" style="3" customWidth="1"/>
    <col min="4105" max="4105" width="4.44140625" style="3" customWidth="1"/>
    <col min="4106" max="4106" width="4" style="3" customWidth="1"/>
    <col min="4107" max="4108" width="7.33203125" style="3" customWidth="1"/>
    <col min="4109" max="4109" width="1.5546875" style="3" customWidth="1"/>
    <col min="4110" max="4110" width="7.88671875" style="3" customWidth="1"/>
    <col min="4111" max="4111" width="8.33203125" style="3" customWidth="1"/>
    <col min="4112" max="4352" width="9.109375" style="3"/>
    <col min="4353" max="4353" width="11.109375" style="3" customWidth="1"/>
    <col min="4354" max="4355" width="0.88671875" style="3" customWidth="1"/>
    <col min="4356" max="4356" width="12.5546875" style="3" customWidth="1"/>
    <col min="4357" max="4357" width="10.109375" style="3" customWidth="1"/>
    <col min="4358" max="4360" width="7.88671875" style="3" customWidth="1"/>
    <col min="4361" max="4361" width="4.44140625" style="3" customWidth="1"/>
    <col min="4362" max="4362" width="4" style="3" customWidth="1"/>
    <col min="4363" max="4364" width="7.33203125" style="3" customWidth="1"/>
    <col min="4365" max="4365" width="1.5546875" style="3" customWidth="1"/>
    <col min="4366" max="4366" width="7.88671875" style="3" customWidth="1"/>
    <col min="4367" max="4367" width="8.33203125" style="3" customWidth="1"/>
    <col min="4368" max="4608" width="9.109375" style="3"/>
    <col min="4609" max="4609" width="11.109375" style="3" customWidth="1"/>
    <col min="4610" max="4611" width="0.88671875" style="3" customWidth="1"/>
    <col min="4612" max="4612" width="12.5546875" style="3" customWidth="1"/>
    <col min="4613" max="4613" width="10.109375" style="3" customWidth="1"/>
    <col min="4614" max="4616" width="7.88671875" style="3" customWidth="1"/>
    <col min="4617" max="4617" width="4.44140625" style="3" customWidth="1"/>
    <col min="4618" max="4618" width="4" style="3" customWidth="1"/>
    <col min="4619" max="4620" width="7.33203125" style="3" customWidth="1"/>
    <col min="4621" max="4621" width="1.5546875" style="3" customWidth="1"/>
    <col min="4622" max="4622" width="7.88671875" style="3" customWidth="1"/>
    <col min="4623" max="4623" width="8.33203125" style="3" customWidth="1"/>
    <col min="4624" max="4864" width="9.109375" style="3"/>
    <col min="4865" max="4865" width="11.109375" style="3" customWidth="1"/>
    <col min="4866" max="4867" width="0.88671875" style="3" customWidth="1"/>
    <col min="4868" max="4868" width="12.5546875" style="3" customWidth="1"/>
    <col min="4869" max="4869" width="10.109375" style="3" customWidth="1"/>
    <col min="4870" max="4872" width="7.88671875" style="3" customWidth="1"/>
    <col min="4873" max="4873" width="4.44140625" style="3" customWidth="1"/>
    <col min="4874" max="4874" width="4" style="3" customWidth="1"/>
    <col min="4875" max="4876" width="7.33203125" style="3" customWidth="1"/>
    <col min="4877" max="4877" width="1.5546875" style="3" customWidth="1"/>
    <col min="4878" max="4878" width="7.88671875" style="3" customWidth="1"/>
    <col min="4879" max="4879" width="8.33203125" style="3" customWidth="1"/>
    <col min="4880" max="5120" width="9.109375" style="3"/>
    <col min="5121" max="5121" width="11.109375" style="3" customWidth="1"/>
    <col min="5122" max="5123" width="0.88671875" style="3" customWidth="1"/>
    <col min="5124" max="5124" width="12.5546875" style="3" customWidth="1"/>
    <col min="5125" max="5125" width="10.109375" style="3" customWidth="1"/>
    <col min="5126" max="5128" width="7.88671875" style="3" customWidth="1"/>
    <col min="5129" max="5129" width="4.44140625" style="3" customWidth="1"/>
    <col min="5130" max="5130" width="4" style="3" customWidth="1"/>
    <col min="5131" max="5132" width="7.33203125" style="3" customWidth="1"/>
    <col min="5133" max="5133" width="1.5546875" style="3" customWidth="1"/>
    <col min="5134" max="5134" width="7.88671875" style="3" customWidth="1"/>
    <col min="5135" max="5135" width="8.33203125" style="3" customWidth="1"/>
    <col min="5136" max="5376" width="9.109375" style="3"/>
    <col min="5377" max="5377" width="11.109375" style="3" customWidth="1"/>
    <col min="5378" max="5379" width="0.88671875" style="3" customWidth="1"/>
    <col min="5380" max="5380" width="12.5546875" style="3" customWidth="1"/>
    <col min="5381" max="5381" width="10.109375" style="3" customWidth="1"/>
    <col min="5382" max="5384" width="7.88671875" style="3" customWidth="1"/>
    <col min="5385" max="5385" width="4.44140625" style="3" customWidth="1"/>
    <col min="5386" max="5386" width="4" style="3" customWidth="1"/>
    <col min="5387" max="5388" width="7.33203125" style="3" customWidth="1"/>
    <col min="5389" max="5389" width="1.5546875" style="3" customWidth="1"/>
    <col min="5390" max="5390" width="7.88671875" style="3" customWidth="1"/>
    <col min="5391" max="5391" width="8.33203125" style="3" customWidth="1"/>
    <col min="5392" max="5632" width="9.109375" style="3"/>
    <col min="5633" max="5633" width="11.109375" style="3" customWidth="1"/>
    <col min="5634" max="5635" width="0.88671875" style="3" customWidth="1"/>
    <col min="5636" max="5636" width="12.5546875" style="3" customWidth="1"/>
    <col min="5637" max="5637" width="10.109375" style="3" customWidth="1"/>
    <col min="5638" max="5640" width="7.88671875" style="3" customWidth="1"/>
    <col min="5641" max="5641" width="4.44140625" style="3" customWidth="1"/>
    <col min="5642" max="5642" width="4" style="3" customWidth="1"/>
    <col min="5643" max="5644" width="7.33203125" style="3" customWidth="1"/>
    <col min="5645" max="5645" width="1.5546875" style="3" customWidth="1"/>
    <col min="5646" max="5646" width="7.88671875" style="3" customWidth="1"/>
    <col min="5647" max="5647" width="8.33203125" style="3" customWidth="1"/>
    <col min="5648" max="5888" width="9.109375" style="3"/>
    <col min="5889" max="5889" width="11.109375" style="3" customWidth="1"/>
    <col min="5890" max="5891" width="0.88671875" style="3" customWidth="1"/>
    <col min="5892" max="5892" width="12.5546875" style="3" customWidth="1"/>
    <col min="5893" max="5893" width="10.109375" style="3" customWidth="1"/>
    <col min="5894" max="5896" width="7.88671875" style="3" customWidth="1"/>
    <col min="5897" max="5897" width="4.44140625" style="3" customWidth="1"/>
    <col min="5898" max="5898" width="4" style="3" customWidth="1"/>
    <col min="5899" max="5900" width="7.33203125" style="3" customWidth="1"/>
    <col min="5901" max="5901" width="1.5546875" style="3" customWidth="1"/>
    <col min="5902" max="5902" width="7.88671875" style="3" customWidth="1"/>
    <col min="5903" max="5903" width="8.33203125" style="3" customWidth="1"/>
    <col min="5904" max="6144" width="9.109375" style="3"/>
    <col min="6145" max="6145" width="11.109375" style="3" customWidth="1"/>
    <col min="6146" max="6147" width="0.88671875" style="3" customWidth="1"/>
    <col min="6148" max="6148" width="12.5546875" style="3" customWidth="1"/>
    <col min="6149" max="6149" width="10.109375" style="3" customWidth="1"/>
    <col min="6150" max="6152" width="7.88671875" style="3" customWidth="1"/>
    <col min="6153" max="6153" width="4.44140625" style="3" customWidth="1"/>
    <col min="6154" max="6154" width="4" style="3" customWidth="1"/>
    <col min="6155" max="6156" width="7.33203125" style="3" customWidth="1"/>
    <col min="6157" max="6157" width="1.5546875" style="3" customWidth="1"/>
    <col min="6158" max="6158" width="7.88671875" style="3" customWidth="1"/>
    <col min="6159" max="6159" width="8.33203125" style="3" customWidth="1"/>
    <col min="6160" max="6400" width="9.109375" style="3"/>
    <col min="6401" max="6401" width="11.109375" style="3" customWidth="1"/>
    <col min="6402" max="6403" width="0.88671875" style="3" customWidth="1"/>
    <col min="6404" max="6404" width="12.5546875" style="3" customWidth="1"/>
    <col min="6405" max="6405" width="10.109375" style="3" customWidth="1"/>
    <col min="6406" max="6408" width="7.88671875" style="3" customWidth="1"/>
    <col min="6409" max="6409" width="4.44140625" style="3" customWidth="1"/>
    <col min="6410" max="6410" width="4" style="3" customWidth="1"/>
    <col min="6411" max="6412" width="7.33203125" style="3" customWidth="1"/>
    <col min="6413" max="6413" width="1.5546875" style="3" customWidth="1"/>
    <col min="6414" max="6414" width="7.88671875" style="3" customWidth="1"/>
    <col min="6415" max="6415" width="8.33203125" style="3" customWidth="1"/>
    <col min="6416" max="6656" width="9.109375" style="3"/>
    <col min="6657" max="6657" width="11.109375" style="3" customWidth="1"/>
    <col min="6658" max="6659" width="0.88671875" style="3" customWidth="1"/>
    <col min="6660" max="6660" width="12.5546875" style="3" customWidth="1"/>
    <col min="6661" max="6661" width="10.109375" style="3" customWidth="1"/>
    <col min="6662" max="6664" width="7.88671875" style="3" customWidth="1"/>
    <col min="6665" max="6665" width="4.44140625" style="3" customWidth="1"/>
    <col min="6666" max="6666" width="4" style="3" customWidth="1"/>
    <col min="6667" max="6668" width="7.33203125" style="3" customWidth="1"/>
    <col min="6669" max="6669" width="1.5546875" style="3" customWidth="1"/>
    <col min="6670" max="6670" width="7.88671875" style="3" customWidth="1"/>
    <col min="6671" max="6671" width="8.33203125" style="3" customWidth="1"/>
    <col min="6672" max="6912" width="9.109375" style="3"/>
    <col min="6913" max="6913" width="11.109375" style="3" customWidth="1"/>
    <col min="6914" max="6915" width="0.88671875" style="3" customWidth="1"/>
    <col min="6916" max="6916" width="12.5546875" style="3" customWidth="1"/>
    <col min="6917" max="6917" width="10.109375" style="3" customWidth="1"/>
    <col min="6918" max="6920" width="7.88671875" style="3" customWidth="1"/>
    <col min="6921" max="6921" width="4.44140625" style="3" customWidth="1"/>
    <col min="6922" max="6922" width="4" style="3" customWidth="1"/>
    <col min="6923" max="6924" width="7.33203125" style="3" customWidth="1"/>
    <col min="6925" max="6925" width="1.5546875" style="3" customWidth="1"/>
    <col min="6926" max="6926" width="7.88671875" style="3" customWidth="1"/>
    <col min="6927" max="6927" width="8.33203125" style="3" customWidth="1"/>
    <col min="6928" max="7168" width="9.109375" style="3"/>
    <col min="7169" max="7169" width="11.109375" style="3" customWidth="1"/>
    <col min="7170" max="7171" width="0.88671875" style="3" customWidth="1"/>
    <col min="7172" max="7172" width="12.5546875" style="3" customWidth="1"/>
    <col min="7173" max="7173" width="10.109375" style="3" customWidth="1"/>
    <col min="7174" max="7176" width="7.88671875" style="3" customWidth="1"/>
    <col min="7177" max="7177" width="4.44140625" style="3" customWidth="1"/>
    <col min="7178" max="7178" width="4" style="3" customWidth="1"/>
    <col min="7179" max="7180" width="7.33203125" style="3" customWidth="1"/>
    <col min="7181" max="7181" width="1.5546875" style="3" customWidth="1"/>
    <col min="7182" max="7182" width="7.88671875" style="3" customWidth="1"/>
    <col min="7183" max="7183" width="8.33203125" style="3" customWidth="1"/>
    <col min="7184" max="7424" width="9.109375" style="3"/>
    <col min="7425" max="7425" width="11.109375" style="3" customWidth="1"/>
    <col min="7426" max="7427" width="0.88671875" style="3" customWidth="1"/>
    <col min="7428" max="7428" width="12.5546875" style="3" customWidth="1"/>
    <col min="7429" max="7429" width="10.109375" style="3" customWidth="1"/>
    <col min="7430" max="7432" width="7.88671875" style="3" customWidth="1"/>
    <col min="7433" max="7433" width="4.44140625" style="3" customWidth="1"/>
    <col min="7434" max="7434" width="4" style="3" customWidth="1"/>
    <col min="7435" max="7436" width="7.33203125" style="3" customWidth="1"/>
    <col min="7437" max="7437" width="1.5546875" style="3" customWidth="1"/>
    <col min="7438" max="7438" width="7.88671875" style="3" customWidth="1"/>
    <col min="7439" max="7439" width="8.33203125" style="3" customWidth="1"/>
    <col min="7440" max="7680" width="9.109375" style="3"/>
    <col min="7681" max="7681" width="11.109375" style="3" customWidth="1"/>
    <col min="7682" max="7683" width="0.88671875" style="3" customWidth="1"/>
    <col min="7684" max="7684" width="12.5546875" style="3" customWidth="1"/>
    <col min="7685" max="7685" width="10.109375" style="3" customWidth="1"/>
    <col min="7686" max="7688" width="7.88671875" style="3" customWidth="1"/>
    <col min="7689" max="7689" width="4.44140625" style="3" customWidth="1"/>
    <col min="7690" max="7690" width="4" style="3" customWidth="1"/>
    <col min="7691" max="7692" width="7.33203125" style="3" customWidth="1"/>
    <col min="7693" max="7693" width="1.5546875" style="3" customWidth="1"/>
    <col min="7694" max="7694" width="7.88671875" style="3" customWidth="1"/>
    <col min="7695" max="7695" width="8.33203125" style="3" customWidth="1"/>
    <col min="7696" max="7936" width="9.109375" style="3"/>
    <col min="7937" max="7937" width="11.109375" style="3" customWidth="1"/>
    <col min="7938" max="7939" width="0.88671875" style="3" customWidth="1"/>
    <col min="7940" max="7940" width="12.5546875" style="3" customWidth="1"/>
    <col min="7941" max="7941" width="10.109375" style="3" customWidth="1"/>
    <col min="7942" max="7944" width="7.88671875" style="3" customWidth="1"/>
    <col min="7945" max="7945" width="4.44140625" style="3" customWidth="1"/>
    <col min="7946" max="7946" width="4" style="3" customWidth="1"/>
    <col min="7947" max="7948" width="7.33203125" style="3" customWidth="1"/>
    <col min="7949" max="7949" width="1.5546875" style="3" customWidth="1"/>
    <col min="7950" max="7950" width="7.88671875" style="3" customWidth="1"/>
    <col min="7951" max="7951" width="8.33203125" style="3" customWidth="1"/>
    <col min="7952" max="8192" width="9.109375" style="3"/>
    <col min="8193" max="8193" width="11.109375" style="3" customWidth="1"/>
    <col min="8194" max="8195" width="0.88671875" style="3" customWidth="1"/>
    <col min="8196" max="8196" width="12.5546875" style="3" customWidth="1"/>
    <col min="8197" max="8197" width="10.109375" style="3" customWidth="1"/>
    <col min="8198" max="8200" width="7.88671875" style="3" customWidth="1"/>
    <col min="8201" max="8201" width="4.44140625" style="3" customWidth="1"/>
    <col min="8202" max="8202" width="4" style="3" customWidth="1"/>
    <col min="8203" max="8204" width="7.33203125" style="3" customWidth="1"/>
    <col min="8205" max="8205" width="1.5546875" style="3" customWidth="1"/>
    <col min="8206" max="8206" width="7.88671875" style="3" customWidth="1"/>
    <col min="8207" max="8207" width="8.33203125" style="3" customWidth="1"/>
    <col min="8208" max="8448" width="9.109375" style="3"/>
    <col min="8449" max="8449" width="11.109375" style="3" customWidth="1"/>
    <col min="8450" max="8451" width="0.88671875" style="3" customWidth="1"/>
    <col min="8452" max="8452" width="12.5546875" style="3" customWidth="1"/>
    <col min="8453" max="8453" width="10.109375" style="3" customWidth="1"/>
    <col min="8454" max="8456" width="7.88671875" style="3" customWidth="1"/>
    <col min="8457" max="8457" width="4.44140625" style="3" customWidth="1"/>
    <col min="8458" max="8458" width="4" style="3" customWidth="1"/>
    <col min="8459" max="8460" width="7.33203125" style="3" customWidth="1"/>
    <col min="8461" max="8461" width="1.5546875" style="3" customWidth="1"/>
    <col min="8462" max="8462" width="7.88671875" style="3" customWidth="1"/>
    <col min="8463" max="8463" width="8.33203125" style="3" customWidth="1"/>
    <col min="8464" max="8704" width="9.109375" style="3"/>
    <col min="8705" max="8705" width="11.109375" style="3" customWidth="1"/>
    <col min="8706" max="8707" width="0.88671875" style="3" customWidth="1"/>
    <col min="8708" max="8708" width="12.5546875" style="3" customWidth="1"/>
    <col min="8709" max="8709" width="10.109375" style="3" customWidth="1"/>
    <col min="8710" max="8712" width="7.88671875" style="3" customWidth="1"/>
    <col min="8713" max="8713" width="4.44140625" style="3" customWidth="1"/>
    <col min="8714" max="8714" width="4" style="3" customWidth="1"/>
    <col min="8715" max="8716" width="7.33203125" style="3" customWidth="1"/>
    <col min="8717" max="8717" width="1.5546875" style="3" customWidth="1"/>
    <col min="8718" max="8718" width="7.88671875" style="3" customWidth="1"/>
    <col min="8719" max="8719" width="8.33203125" style="3" customWidth="1"/>
    <col min="8720" max="8960" width="9.109375" style="3"/>
    <col min="8961" max="8961" width="11.109375" style="3" customWidth="1"/>
    <col min="8962" max="8963" width="0.88671875" style="3" customWidth="1"/>
    <col min="8964" max="8964" width="12.5546875" style="3" customWidth="1"/>
    <col min="8965" max="8965" width="10.109375" style="3" customWidth="1"/>
    <col min="8966" max="8968" width="7.88671875" style="3" customWidth="1"/>
    <col min="8969" max="8969" width="4.44140625" style="3" customWidth="1"/>
    <col min="8970" max="8970" width="4" style="3" customWidth="1"/>
    <col min="8971" max="8972" width="7.33203125" style="3" customWidth="1"/>
    <col min="8973" max="8973" width="1.5546875" style="3" customWidth="1"/>
    <col min="8974" max="8974" width="7.88671875" style="3" customWidth="1"/>
    <col min="8975" max="8975" width="8.33203125" style="3" customWidth="1"/>
    <col min="8976" max="9216" width="9.109375" style="3"/>
    <col min="9217" max="9217" width="11.109375" style="3" customWidth="1"/>
    <col min="9218" max="9219" width="0.88671875" style="3" customWidth="1"/>
    <col min="9220" max="9220" width="12.5546875" style="3" customWidth="1"/>
    <col min="9221" max="9221" width="10.109375" style="3" customWidth="1"/>
    <col min="9222" max="9224" width="7.88671875" style="3" customWidth="1"/>
    <col min="9225" max="9225" width="4.44140625" style="3" customWidth="1"/>
    <col min="9226" max="9226" width="4" style="3" customWidth="1"/>
    <col min="9227" max="9228" width="7.33203125" style="3" customWidth="1"/>
    <col min="9229" max="9229" width="1.5546875" style="3" customWidth="1"/>
    <col min="9230" max="9230" width="7.88671875" style="3" customWidth="1"/>
    <col min="9231" max="9231" width="8.33203125" style="3" customWidth="1"/>
    <col min="9232" max="9472" width="9.109375" style="3"/>
    <col min="9473" max="9473" width="11.109375" style="3" customWidth="1"/>
    <col min="9474" max="9475" width="0.88671875" style="3" customWidth="1"/>
    <col min="9476" max="9476" width="12.5546875" style="3" customWidth="1"/>
    <col min="9477" max="9477" width="10.109375" style="3" customWidth="1"/>
    <col min="9478" max="9480" width="7.88671875" style="3" customWidth="1"/>
    <col min="9481" max="9481" width="4.44140625" style="3" customWidth="1"/>
    <col min="9482" max="9482" width="4" style="3" customWidth="1"/>
    <col min="9483" max="9484" width="7.33203125" style="3" customWidth="1"/>
    <col min="9485" max="9485" width="1.5546875" style="3" customWidth="1"/>
    <col min="9486" max="9486" width="7.88671875" style="3" customWidth="1"/>
    <col min="9487" max="9487" width="8.33203125" style="3" customWidth="1"/>
    <col min="9488" max="9728" width="9.109375" style="3"/>
    <col min="9729" max="9729" width="11.109375" style="3" customWidth="1"/>
    <col min="9730" max="9731" width="0.88671875" style="3" customWidth="1"/>
    <col min="9732" max="9732" width="12.5546875" style="3" customWidth="1"/>
    <col min="9733" max="9733" width="10.109375" style="3" customWidth="1"/>
    <col min="9734" max="9736" width="7.88671875" style="3" customWidth="1"/>
    <col min="9737" max="9737" width="4.44140625" style="3" customWidth="1"/>
    <col min="9738" max="9738" width="4" style="3" customWidth="1"/>
    <col min="9739" max="9740" width="7.33203125" style="3" customWidth="1"/>
    <col min="9741" max="9741" width="1.5546875" style="3" customWidth="1"/>
    <col min="9742" max="9742" width="7.88671875" style="3" customWidth="1"/>
    <col min="9743" max="9743" width="8.33203125" style="3" customWidth="1"/>
    <col min="9744" max="9984" width="9.109375" style="3"/>
    <col min="9985" max="9985" width="11.109375" style="3" customWidth="1"/>
    <col min="9986" max="9987" width="0.88671875" style="3" customWidth="1"/>
    <col min="9988" max="9988" width="12.5546875" style="3" customWidth="1"/>
    <col min="9989" max="9989" width="10.109375" style="3" customWidth="1"/>
    <col min="9990" max="9992" width="7.88671875" style="3" customWidth="1"/>
    <col min="9993" max="9993" width="4.44140625" style="3" customWidth="1"/>
    <col min="9994" max="9994" width="4" style="3" customWidth="1"/>
    <col min="9995" max="9996" width="7.33203125" style="3" customWidth="1"/>
    <col min="9997" max="9997" width="1.5546875" style="3" customWidth="1"/>
    <col min="9998" max="9998" width="7.88671875" style="3" customWidth="1"/>
    <col min="9999" max="9999" width="8.33203125" style="3" customWidth="1"/>
    <col min="10000" max="10240" width="9.109375" style="3"/>
    <col min="10241" max="10241" width="11.109375" style="3" customWidth="1"/>
    <col min="10242" max="10243" width="0.88671875" style="3" customWidth="1"/>
    <col min="10244" max="10244" width="12.5546875" style="3" customWidth="1"/>
    <col min="10245" max="10245" width="10.109375" style="3" customWidth="1"/>
    <col min="10246" max="10248" width="7.88671875" style="3" customWidth="1"/>
    <col min="10249" max="10249" width="4.44140625" style="3" customWidth="1"/>
    <col min="10250" max="10250" width="4" style="3" customWidth="1"/>
    <col min="10251" max="10252" width="7.33203125" style="3" customWidth="1"/>
    <col min="10253" max="10253" width="1.5546875" style="3" customWidth="1"/>
    <col min="10254" max="10254" width="7.88671875" style="3" customWidth="1"/>
    <col min="10255" max="10255" width="8.33203125" style="3" customWidth="1"/>
    <col min="10256" max="10496" width="9.109375" style="3"/>
    <col min="10497" max="10497" width="11.109375" style="3" customWidth="1"/>
    <col min="10498" max="10499" width="0.88671875" style="3" customWidth="1"/>
    <col min="10500" max="10500" width="12.5546875" style="3" customWidth="1"/>
    <col min="10501" max="10501" width="10.109375" style="3" customWidth="1"/>
    <col min="10502" max="10504" width="7.88671875" style="3" customWidth="1"/>
    <col min="10505" max="10505" width="4.44140625" style="3" customWidth="1"/>
    <col min="10506" max="10506" width="4" style="3" customWidth="1"/>
    <col min="10507" max="10508" width="7.33203125" style="3" customWidth="1"/>
    <col min="10509" max="10509" width="1.5546875" style="3" customWidth="1"/>
    <col min="10510" max="10510" width="7.88671875" style="3" customWidth="1"/>
    <col min="10511" max="10511" width="8.33203125" style="3" customWidth="1"/>
    <col min="10512" max="10752" width="9.109375" style="3"/>
    <col min="10753" max="10753" width="11.109375" style="3" customWidth="1"/>
    <col min="10754" max="10755" width="0.88671875" style="3" customWidth="1"/>
    <col min="10756" max="10756" width="12.5546875" style="3" customWidth="1"/>
    <col min="10757" max="10757" width="10.109375" style="3" customWidth="1"/>
    <col min="10758" max="10760" width="7.88671875" style="3" customWidth="1"/>
    <col min="10761" max="10761" width="4.44140625" style="3" customWidth="1"/>
    <col min="10762" max="10762" width="4" style="3" customWidth="1"/>
    <col min="10763" max="10764" width="7.33203125" style="3" customWidth="1"/>
    <col min="10765" max="10765" width="1.5546875" style="3" customWidth="1"/>
    <col min="10766" max="10766" width="7.88671875" style="3" customWidth="1"/>
    <col min="10767" max="10767" width="8.33203125" style="3" customWidth="1"/>
    <col min="10768" max="11008" width="9.109375" style="3"/>
    <col min="11009" max="11009" width="11.109375" style="3" customWidth="1"/>
    <col min="11010" max="11011" width="0.88671875" style="3" customWidth="1"/>
    <col min="11012" max="11012" width="12.5546875" style="3" customWidth="1"/>
    <col min="11013" max="11013" width="10.109375" style="3" customWidth="1"/>
    <col min="11014" max="11016" width="7.88671875" style="3" customWidth="1"/>
    <col min="11017" max="11017" width="4.44140625" style="3" customWidth="1"/>
    <col min="11018" max="11018" width="4" style="3" customWidth="1"/>
    <col min="11019" max="11020" width="7.33203125" style="3" customWidth="1"/>
    <col min="11021" max="11021" width="1.5546875" style="3" customWidth="1"/>
    <col min="11022" max="11022" width="7.88671875" style="3" customWidth="1"/>
    <col min="11023" max="11023" width="8.33203125" style="3" customWidth="1"/>
    <col min="11024" max="11264" width="9.109375" style="3"/>
    <col min="11265" max="11265" width="11.109375" style="3" customWidth="1"/>
    <col min="11266" max="11267" width="0.88671875" style="3" customWidth="1"/>
    <col min="11268" max="11268" width="12.5546875" style="3" customWidth="1"/>
    <col min="11269" max="11269" width="10.109375" style="3" customWidth="1"/>
    <col min="11270" max="11272" width="7.88671875" style="3" customWidth="1"/>
    <col min="11273" max="11273" width="4.44140625" style="3" customWidth="1"/>
    <col min="11274" max="11274" width="4" style="3" customWidth="1"/>
    <col min="11275" max="11276" width="7.33203125" style="3" customWidth="1"/>
    <col min="11277" max="11277" width="1.5546875" style="3" customWidth="1"/>
    <col min="11278" max="11278" width="7.88671875" style="3" customWidth="1"/>
    <col min="11279" max="11279" width="8.33203125" style="3" customWidth="1"/>
    <col min="11280" max="11520" width="9.109375" style="3"/>
    <col min="11521" max="11521" width="11.109375" style="3" customWidth="1"/>
    <col min="11522" max="11523" width="0.88671875" style="3" customWidth="1"/>
    <col min="11524" max="11524" width="12.5546875" style="3" customWidth="1"/>
    <col min="11525" max="11525" width="10.109375" style="3" customWidth="1"/>
    <col min="11526" max="11528" width="7.88671875" style="3" customWidth="1"/>
    <col min="11529" max="11529" width="4.44140625" style="3" customWidth="1"/>
    <col min="11530" max="11530" width="4" style="3" customWidth="1"/>
    <col min="11531" max="11532" width="7.33203125" style="3" customWidth="1"/>
    <col min="11533" max="11533" width="1.5546875" style="3" customWidth="1"/>
    <col min="11534" max="11534" width="7.88671875" style="3" customWidth="1"/>
    <col min="11535" max="11535" width="8.33203125" style="3" customWidth="1"/>
    <col min="11536" max="11776" width="9.109375" style="3"/>
    <col min="11777" max="11777" width="11.109375" style="3" customWidth="1"/>
    <col min="11778" max="11779" width="0.88671875" style="3" customWidth="1"/>
    <col min="11780" max="11780" width="12.5546875" style="3" customWidth="1"/>
    <col min="11781" max="11781" width="10.109375" style="3" customWidth="1"/>
    <col min="11782" max="11784" width="7.88671875" style="3" customWidth="1"/>
    <col min="11785" max="11785" width="4.44140625" style="3" customWidth="1"/>
    <col min="11786" max="11786" width="4" style="3" customWidth="1"/>
    <col min="11787" max="11788" width="7.33203125" style="3" customWidth="1"/>
    <col min="11789" max="11789" width="1.5546875" style="3" customWidth="1"/>
    <col min="11790" max="11790" width="7.88671875" style="3" customWidth="1"/>
    <col min="11791" max="11791" width="8.33203125" style="3" customWidth="1"/>
    <col min="11792" max="12032" width="9.109375" style="3"/>
    <col min="12033" max="12033" width="11.109375" style="3" customWidth="1"/>
    <col min="12034" max="12035" width="0.88671875" style="3" customWidth="1"/>
    <col min="12036" max="12036" width="12.5546875" style="3" customWidth="1"/>
    <col min="12037" max="12037" width="10.109375" style="3" customWidth="1"/>
    <col min="12038" max="12040" width="7.88671875" style="3" customWidth="1"/>
    <col min="12041" max="12041" width="4.44140625" style="3" customWidth="1"/>
    <col min="12042" max="12042" width="4" style="3" customWidth="1"/>
    <col min="12043" max="12044" width="7.33203125" style="3" customWidth="1"/>
    <col min="12045" max="12045" width="1.5546875" style="3" customWidth="1"/>
    <col min="12046" max="12046" width="7.88671875" style="3" customWidth="1"/>
    <col min="12047" max="12047" width="8.33203125" style="3" customWidth="1"/>
    <col min="12048" max="12288" width="9.109375" style="3"/>
    <col min="12289" max="12289" width="11.109375" style="3" customWidth="1"/>
    <col min="12290" max="12291" width="0.88671875" style="3" customWidth="1"/>
    <col min="12292" max="12292" width="12.5546875" style="3" customWidth="1"/>
    <col min="12293" max="12293" width="10.109375" style="3" customWidth="1"/>
    <col min="12294" max="12296" width="7.88671875" style="3" customWidth="1"/>
    <col min="12297" max="12297" width="4.44140625" style="3" customWidth="1"/>
    <col min="12298" max="12298" width="4" style="3" customWidth="1"/>
    <col min="12299" max="12300" width="7.33203125" style="3" customWidth="1"/>
    <col min="12301" max="12301" width="1.5546875" style="3" customWidth="1"/>
    <col min="12302" max="12302" width="7.88671875" style="3" customWidth="1"/>
    <col min="12303" max="12303" width="8.33203125" style="3" customWidth="1"/>
    <col min="12304" max="12544" width="9.109375" style="3"/>
    <col min="12545" max="12545" width="11.109375" style="3" customWidth="1"/>
    <col min="12546" max="12547" width="0.88671875" style="3" customWidth="1"/>
    <col min="12548" max="12548" width="12.5546875" style="3" customWidth="1"/>
    <col min="12549" max="12549" width="10.109375" style="3" customWidth="1"/>
    <col min="12550" max="12552" width="7.88671875" style="3" customWidth="1"/>
    <col min="12553" max="12553" width="4.44140625" style="3" customWidth="1"/>
    <col min="12554" max="12554" width="4" style="3" customWidth="1"/>
    <col min="12555" max="12556" width="7.33203125" style="3" customWidth="1"/>
    <col min="12557" max="12557" width="1.5546875" style="3" customWidth="1"/>
    <col min="12558" max="12558" width="7.88671875" style="3" customWidth="1"/>
    <col min="12559" max="12559" width="8.33203125" style="3" customWidth="1"/>
    <col min="12560" max="12800" width="9.109375" style="3"/>
    <col min="12801" max="12801" width="11.109375" style="3" customWidth="1"/>
    <col min="12802" max="12803" width="0.88671875" style="3" customWidth="1"/>
    <col min="12804" max="12804" width="12.5546875" style="3" customWidth="1"/>
    <col min="12805" max="12805" width="10.109375" style="3" customWidth="1"/>
    <col min="12806" max="12808" width="7.88671875" style="3" customWidth="1"/>
    <col min="12809" max="12809" width="4.44140625" style="3" customWidth="1"/>
    <col min="12810" max="12810" width="4" style="3" customWidth="1"/>
    <col min="12811" max="12812" width="7.33203125" style="3" customWidth="1"/>
    <col min="12813" max="12813" width="1.5546875" style="3" customWidth="1"/>
    <col min="12814" max="12814" width="7.88671875" style="3" customWidth="1"/>
    <col min="12815" max="12815" width="8.33203125" style="3" customWidth="1"/>
    <col min="12816" max="13056" width="9.109375" style="3"/>
    <col min="13057" max="13057" width="11.109375" style="3" customWidth="1"/>
    <col min="13058" max="13059" width="0.88671875" style="3" customWidth="1"/>
    <col min="13060" max="13060" width="12.5546875" style="3" customWidth="1"/>
    <col min="13061" max="13061" width="10.109375" style="3" customWidth="1"/>
    <col min="13062" max="13064" width="7.88671875" style="3" customWidth="1"/>
    <col min="13065" max="13065" width="4.44140625" style="3" customWidth="1"/>
    <col min="13066" max="13066" width="4" style="3" customWidth="1"/>
    <col min="13067" max="13068" width="7.33203125" style="3" customWidth="1"/>
    <col min="13069" max="13069" width="1.5546875" style="3" customWidth="1"/>
    <col min="13070" max="13070" width="7.88671875" style="3" customWidth="1"/>
    <col min="13071" max="13071" width="8.33203125" style="3" customWidth="1"/>
    <col min="13072" max="13312" width="9.109375" style="3"/>
    <col min="13313" max="13313" width="11.109375" style="3" customWidth="1"/>
    <col min="13314" max="13315" width="0.88671875" style="3" customWidth="1"/>
    <col min="13316" max="13316" width="12.5546875" style="3" customWidth="1"/>
    <col min="13317" max="13317" width="10.109375" style="3" customWidth="1"/>
    <col min="13318" max="13320" width="7.88671875" style="3" customWidth="1"/>
    <col min="13321" max="13321" width="4.44140625" style="3" customWidth="1"/>
    <col min="13322" max="13322" width="4" style="3" customWidth="1"/>
    <col min="13323" max="13324" width="7.33203125" style="3" customWidth="1"/>
    <col min="13325" max="13325" width="1.5546875" style="3" customWidth="1"/>
    <col min="13326" max="13326" width="7.88671875" style="3" customWidth="1"/>
    <col min="13327" max="13327" width="8.33203125" style="3" customWidth="1"/>
    <col min="13328" max="13568" width="9.109375" style="3"/>
    <col min="13569" max="13569" width="11.109375" style="3" customWidth="1"/>
    <col min="13570" max="13571" width="0.88671875" style="3" customWidth="1"/>
    <col min="13572" max="13572" width="12.5546875" style="3" customWidth="1"/>
    <col min="13573" max="13573" width="10.109375" style="3" customWidth="1"/>
    <col min="13574" max="13576" width="7.88671875" style="3" customWidth="1"/>
    <col min="13577" max="13577" width="4.44140625" style="3" customWidth="1"/>
    <col min="13578" max="13578" width="4" style="3" customWidth="1"/>
    <col min="13579" max="13580" width="7.33203125" style="3" customWidth="1"/>
    <col min="13581" max="13581" width="1.5546875" style="3" customWidth="1"/>
    <col min="13582" max="13582" width="7.88671875" style="3" customWidth="1"/>
    <col min="13583" max="13583" width="8.33203125" style="3" customWidth="1"/>
    <col min="13584" max="13824" width="9.109375" style="3"/>
    <col min="13825" max="13825" width="11.109375" style="3" customWidth="1"/>
    <col min="13826" max="13827" width="0.88671875" style="3" customWidth="1"/>
    <col min="13828" max="13828" width="12.5546875" style="3" customWidth="1"/>
    <col min="13829" max="13829" width="10.109375" style="3" customWidth="1"/>
    <col min="13830" max="13832" width="7.88671875" style="3" customWidth="1"/>
    <col min="13833" max="13833" width="4.44140625" style="3" customWidth="1"/>
    <col min="13834" max="13834" width="4" style="3" customWidth="1"/>
    <col min="13835" max="13836" width="7.33203125" style="3" customWidth="1"/>
    <col min="13837" max="13837" width="1.5546875" style="3" customWidth="1"/>
    <col min="13838" max="13838" width="7.88671875" style="3" customWidth="1"/>
    <col min="13839" max="13839" width="8.33203125" style="3" customWidth="1"/>
    <col min="13840" max="14080" width="9.109375" style="3"/>
    <col min="14081" max="14081" width="11.109375" style="3" customWidth="1"/>
    <col min="14082" max="14083" width="0.88671875" style="3" customWidth="1"/>
    <col min="14084" max="14084" width="12.5546875" style="3" customWidth="1"/>
    <col min="14085" max="14085" width="10.109375" style="3" customWidth="1"/>
    <col min="14086" max="14088" width="7.88671875" style="3" customWidth="1"/>
    <col min="14089" max="14089" width="4.44140625" style="3" customWidth="1"/>
    <col min="14090" max="14090" width="4" style="3" customWidth="1"/>
    <col min="14091" max="14092" width="7.33203125" style="3" customWidth="1"/>
    <col min="14093" max="14093" width="1.5546875" style="3" customWidth="1"/>
    <col min="14094" max="14094" width="7.88671875" style="3" customWidth="1"/>
    <col min="14095" max="14095" width="8.33203125" style="3" customWidth="1"/>
    <col min="14096" max="14336" width="9.109375" style="3"/>
    <col min="14337" max="14337" width="11.109375" style="3" customWidth="1"/>
    <col min="14338" max="14339" width="0.88671875" style="3" customWidth="1"/>
    <col min="14340" max="14340" width="12.5546875" style="3" customWidth="1"/>
    <col min="14341" max="14341" width="10.109375" style="3" customWidth="1"/>
    <col min="14342" max="14344" width="7.88671875" style="3" customWidth="1"/>
    <col min="14345" max="14345" width="4.44140625" style="3" customWidth="1"/>
    <col min="14346" max="14346" width="4" style="3" customWidth="1"/>
    <col min="14347" max="14348" width="7.33203125" style="3" customWidth="1"/>
    <col min="14349" max="14349" width="1.5546875" style="3" customWidth="1"/>
    <col min="14350" max="14350" width="7.88671875" style="3" customWidth="1"/>
    <col min="14351" max="14351" width="8.33203125" style="3" customWidth="1"/>
    <col min="14352" max="14592" width="9.109375" style="3"/>
    <col min="14593" max="14593" width="11.109375" style="3" customWidth="1"/>
    <col min="14594" max="14595" width="0.88671875" style="3" customWidth="1"/>
    <col min="14596" max="14596" width="12.5546875" style="3" customWidth="1"/>
    <col min="14597" max="14597" width="10.109375" style="3" customWidth="1"/>
    <col min="14598" max="14600" width="7.88671875" style="3" customWidth="1"/>
    <col min="14601" max="14601" width="4.44140625" style="3" customWidth="1"/>
    <col min="14602" max="14602" width="4" style="3" customWidth="1"/>
    <col min="14603" max="14604" width="7.33203125" style="3" customWidth="1"/>
    <col min="14605" max="14605" width="1.5546875" style="3" customWidth="1"/>
    <col min="14606" max="14606" width="7.88671875" style="3" customWidth="1"/>
    <col min="14607" max="14607" width="8.33203125" style="3" customWidth="1"/>
    <col min="14608" max="14848" width="9.109375" style="3"/>
    <col min="14849" max="14849" width="11.109375" style="3" customWidth="1"/>
    <col min="14850" max="14851" width="0.88671875" style="3" customWidth="1"/>
    <col min="14852" max="14852" width="12.5546875" style="3" customWidth="1"/>
    <col min="14853" max="14853" width="10.109375" style="3" customWidth="1"/>
    <col min="14854" max="14856" width="7.88671875" style="3" customWidth="1"/>
    <col min="14857" max="14857" width="4.44140625" style="3" customWidth="1"/>
    <col min="14858" max="14858" width="4" style="3" customWidth="1"/>
    <col min="14859" max="14860" width="7.33203125" style="3" customWidth="1"/>
    <col min="14861" max="14861" width="1.5546875" style="3" customWidth="1"/>
    <col min="14862" max="14862" width="7.88671875" style="3" customWidth="1"/>
    <col min="14863" max="14863" width="8.33203125" style="3" customWidth="1"/>
    <col min="14864" max="15104" width="9.109375" style="3"/>
    <col min="15105" max="15105" width="11.109375" style="3" customWidth="1"/>
    <col min="15106" max="15107" width="0.88671875" style="3" customWidth="1"/>
    <col min="15108" max="15108" width="12.5546875" style="3" customWidth="1"/>
    <col min="15109" max="15109" width="10.109375" style="3" customWidth="1"/>
    <col min="15110" max="15112" width="7.88671875" style="3" customWidth="1"/>
    <col min="15113" max="15113" width="4.44140625" style="3" customWidth="1"/>
    <col min="15114" max="15114" width="4" style="3" customWidth="1"/>
    <col min="15115" max="15116" width="7.33203125" style="3" customWidth="1"/>
    <col min="15117" max="15117" width="1.5546875" style="3" customWidth="1"/>
    <col min="15118" max="15118" width="7.88671875" style="3" customWidth="1"/>
    <col min="15119" max="15119" width="8.33203125" style="3" customWidth="1"/>
    <col min="15120" max="15360" width="9.109375" style="3"/>
    <col min="15361" max="15361" width="11.109375" style="3" customWidth="1"/>
    <col min="15362" max="15363" width="0.88671875" style="3" customWidth="1"/>
    <col min="15364" max="15364" width="12.5546875" style="3" customWidth="1"/>
    <col min="15365" max="15365" width="10.109375" style="3" customWidth="1"/>
    <col min="15366" max="15368" width="7.88671875" style="3" customWidth="1"/>
    <col min="15369" max="15369" width="4.44140625" style="3" customWidth="1"/>
    <col min="15370" max="15370" width="4" style="3" customWidth="1"/>
    <col min="15371" max="15372" width="7.33203125" style="3" customWidth="1"/>
    <col min="15373" max="15373" width="1.5546875" style="3" customWidth="1"/>
    <col min="15374" max="15374" width="7.88671875" style="3" customWidth="1"/>
    <col min="15375" max="15375" width="8.33203125" style="3" customWidth="1"/>
    <col min="15376" max="15616" width="9.109375" style="3"/>
    <col min="15617" max="15617" width="11.109375" style="3" customWidth="1"/>
    <col min="15618" max="15619" width="0.88671875" style="3" customWidth="1"/>
    <col min="15620" max="15620" width="12.5546875" style="3" customWidth="1"/>
    <col min="15621" max="15621" width="10.109375" style="3" customWidth="1"/>
    <col min="15622" max="15624" width="7.88671875" style="3" customWidth="1"/>
    <col min="15625" max="15625" width="4.44140625" style="3" customWidth="1"/>
    <col min="15626" max="15626" width="4" style="3" customWidth="1"/>
    <col min="15627" max="15628" width="7.33203125" style="3" customWidth="1"/>
    <col min="15629" max="15629" width="1.5546875" style="3" customWidth="1"/>
    <col min="15630" max="15630" width="7.88671875" style="3" customWidth="1"/>
    <col min="15631" max="15631" width="8.33203125" style="3" customWidth="1"/>
    <col min="15632" max="15872" width="9.109375" style="3"/>
    <col min="15873" max="15873" width="11.109375" style="3" customWidth="1"/>
    <col min="15874" max="15875" width="0.88671875" style="3" customWidth="1"/>
    <col min="15876" max="15876" width="12.5546875" style="3" customWidth="1"/>
    <col min="15877" max="15877" width="10.109375" style="3" customWidth="1"/>
    <col min="15878" max="15880" width="7.88671875" style="3" customWidth="1"/>
    <col min="15881" max="15881" width="4.44140625" style="3" customWidth="1"/>
    <col min="15882" max="15882" width="4" style="3" customWidth="1"/>
    <col min="15883" max="15884" width="7.33203125" style="3" customWidth="1"/>
    <col min="15885" max="15885" width="1.5546875" style="3" customWidth="1"/>
    <col min="15886" max="15886" width="7.88671875" style="3" customWidth="1"/>
    <col min="15887" max="15887" width="8.33203125" style="3" customWidth="1"/>
    <col min="15888" max="16128" width="9.109375" style="3"/>
    <col min="16129" max="16129" width="11.109375" style="3" customWidth="1"/>
    <col min="16130" max="16131" width="0.88671875" style="3" customWidth="1"/>
    <col min="16132" max="16132" width="12.5546875" style="3" customWidth="1"/>
    <col min="16133" max="16133" width="10.109375" style="3" customWidth="1"/>
    <col min="16134" max="16136" width="7.88671875" style="3" customWidth="1"/>
    <col min="16137" max="16137" width="4.44140625" style="3" customWidth="1"/>
    <col min="16138" max="16138" width="4" style="3" customWidth="1"/>
    <col min="16139" max="16140" width="7.33203125" style="3" customWidth="1"/>
    <col min="16141" max="16141" width="1.5546875" style="3" customWidth="1"/>
    <col min="16142" max="16142" width="7.88671875" style="3" customWidth="1"/>
    <col min="16143" max="16143" width="8.33203125" style="3" customWidth="1"/>
    <col min="16144" max="16384" width="9.109375" style="3"/>
  </cols>
  <sheetData>
    <row r="1" spans="1:15" ht="14.25" customHeight="1" x14ac:dyDescent="0.3">
      <c r="A1" s="80" t="s">
        <v>266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ht="5.85" customHeight="1" x14ac:dyDescent="0.3"/>
    <row r="3" spans="1:15" ht="63.15" customHeight="1" x14ac:dyDescent="0.3">
      <c r="A3" s="4" t="s">
        <v>267</v>
      </c>
      <c r="C3" s="82" t="s">
        <v>1331</v>
      </c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</row>
    <row r="4" spans="1:15" ht="17.25" customHeight="1" x14ac:dyDescent="0.3"/>
    <row r="5" spans="1:15" ht="11.4" customHeight="1" x14ac:dyDescent="0.3">
      <c r="A5" s="83" t="s">
        <v>269</v>
      </c>
      <c r="B5" s="84"/>
      <c r="C5" s="85"/>
      <c r="D5" s="5" t="s">
        <v>270</v>
      </c>
      <c r="E5" s="6" t="s">
        <v>271</v>
      </c>
      <c r="F5" s="5" t="s">
        <v>272</v>
      </c>
      <c r="G5" s="6" t="s">
        <v>273</v>
      </c>
      <c r="H5" s="5" t="s">
        <v>274</v>
      </c>
      <c r="I5" s="120" t="s">
        <v>275</v>
      </c>
      <c r="J5" s="93"/>
      <c r="K5" s="5" t="s">
        <v>276</v>
      </c>
      <c r="L5" s="6" t="s">
        <v>277</v>
      </c>
      <c r="M5" s="83" t="s">
        <v>278</v>
      </c>
      <c r="N5" s="85"/>
      <c r="O5" s="7" t="s">
        <v>279</v>
      </c>
    </row>
    <row r="6" spans="1:15" ht="11.4" customHeight="1" x14ac:dyDescent="0.3">
      <c r="A6" s="88" t="s">
        <v>1332</v>
      </c>
      <c r="B6" s="84"/>
      <c r="C6" s="85"/>
      <c r="D6" s="14" t="s">
        <v>877</v>
      </c>
      <c r="E6" s="9" t="s">
        <v>1333</v>
      </c>
      <c r="F6" s="15" t="s">
        <v>1273</v>
      </c>
      <c r="G6" s="11" t="s">
        <v>683</v>
      </c>
      <c r="H6" s="15" t="s">
        <v>1334</v>
      </c>
      <c r="I6" s="141" t="s">
        <v>7</v>
      </c>
      <c r="J6" s="85"/>
      <c r="K6" s="15" t="s">
        <v>864</v>
      </c>
      <c r="L6" s="9" t="s">
        <v>287</v>
      </c>
      <c r="M6" s="88" t="s">
        <v>288</v>
      </c>
      <c r="N6" s="85"/>
      <c r="O6" s="9" t="s">
        <v>289</v>
      </c>
    </row>
    <row r="7" spans="1:15" ht="11.4" customHeight="1" x14ac:dyDescent="0.3">
      <c r="A7" s="101" t="s">
        <v>1332</v>
      </c>
      <c r="B7" s="84"/>
      <c r="C7" s="85"/>
      <c r="D7" s="9" t="s">
        <v>342</v>
      </c>
      <c r="E7" s="14" t="s">
        <v>1335</v>
      </c>
      <c r="F7" s="11" t="s">
        <v>474</v>
      </c>
      <c r="G7" s="15" t="s">
        <v>1223</v>
      </c>
      <c r="H7" s="11" t="s">
        <v>1249</v>
      </c>
      <c r="I7" s="141" t="s">
        <v>7</v>
      </c>
      <c r="J7" s="85"/>
      <c r="K7" s="11" t="s">
        <v>1010</v>
      </c>
      <c r="L7" s="14" t="s">
        <v>287</v>
      </c>
      <c r="M7" s="88" t="s">
        <v>288</v>
      </c>
      <c r="N7" s="85"/>
      <c r="O7" s="16" t="s">
        <v>289</v>
      </c>
    </row>
    <row r="8" spans="1:15" ht="11.4" customHeight="1" x14ac:dyDescent="0.3">
      <c r="A8" s="88" t="s">
        <v>1332</v>
      </c>
      <c r="B8" s="84"/>
      <c r="C8" s="85"/>
      <c r="D8" s="14" t="s">
        <v>467</v>
      </c>
      <c r="E8" s="9" t="s">
        <v>1336</v>
      </c>
      <c r="F8" s="15" t="s">
        <v>859</v>
      </c>
      <c r="G8" s="11" t="s">
        <v>1130</v>
      </c>
      <c r="H8" s="15" t="s">
        <v>799</v>
      </c>
      <c r="I8" s="141" t="s">
        <v>7</v>
      </c>
      <c r="J8" s="85"/>
      <c r="K8" s="15" t="s">
        <v>960</v>
      </c>
      <c r="L8" s="9" t="s">
        <v>287</v>
      </c>
      <c r="M8" s="88" t="s">
        <v>288</v>
      </c>
      <c r="N8" s="85"/>
      <c r="O8" s="9" t="s">
        <v>309</v>
      </c>
    </row>
    <row r="9" spans="1:15" ht="11.4" customHeight="1" x14ac:dyDescent="0.3">
      <c r="A9" s="111" t="s">
        <v>1332</v>
      </c>
      <c r="B9" s="112"/>
      <c r="C9" s="106"/>
      <c r="D9" s="9" t="s">
        <v>439</v>
      </c>
      <c r="E9" s="8" t="s">
        <v>1337</v>
      </c>
      <c r="F9" s="11" t="s">
        <v>1338</v>
      </c>
      <c r="G9" s="10" t="s">
        <v>1339</v>
      </c>
      <c r="H9" s="11" t="s">
        <v>572</v>
      </c>
      <c r="I9" s="147" t="s">
        <v>7</v>
      </c>
      <c r="J9" s="106"/>
      <c r="K9" s="11" t="s">
        <v>1340</v>
      </c>
      <c r="L9" s="8" t="s">
        <v>287</v>
      </c>
      <c r="M9" s="88" t="s">
        <v>288</v>
      </c>
      <c r="N9" s="85"/>
      <c r="O9" s="9" t="s">
        <v>309</v>
      </c>
    </row>
    <row r="10" spans="1:15" ht="2.85" customHeight="1" x14ac:dyDescent="0.3"/>
    <row r="11" spans="1:15" ht="11.4" customHeight="1" x14ac:dyDescent="0.3">
      <c r="A11" s="94" t="s">
        <v>290</v>
      </c>
      <c r="B11" s="81"/>
      <c r="C11" s="81"/>
      <c r="D11" s="81"/>
      <c r="E11" s="81"/>
      <c r="F11" s="81"/>
      <c r="G11" s="81"/>
      <c r="H11" s="12" t="s">
        <v>1341</v>
      </c>
      <c r="I11" s="142" t="s">
        <v>9</v>
      </c>
      <c r="J11" s="143"/>
      <c r="K11" s="97" t="s">
        <v>291</v>
      </c>
      <c r="L11" s="81"/>
      <c r="M11" s="81"/>
      <c r="N11" s="97" t="s">
        <v>292</v>
      </c>
      <c r="O11" s="81"/>
    </row>
    <row r="12" spans="1:15" ht="11.4" customHeight="1" x14ac:dyDescent="0.3">
      <c r="F12" s="97" t="s">
        <v>293</v>
      </c>
      <c r="G12" s="81"/>
      <c r="H12" s="13" t="s">
        <v>1342</v>
      </c>
      <c r="I12" s="144" t="s">
        <v>9</v>
      </c>
      <c r="J12" s="145"/>
      <c r="K12" s="100" t="s">
        <v>295</v>
      </c>
      <c r="L12" s="81"/>
      <c r="M12" s="81"/>
      <c r="N12" s="100" t="s">
        <v>295</v>
      </c>
      <c r="O12" s="81"/>
    </row>
    <row r="13" spans="1:15" ht="20.100000000000001" customHeight="1" x14ac:dyDescent="0.3"/>
    <row r="14" spans="1:15" ht="11.4" customHeight="1" x14ac:dyDescent="0.3">
      <c r="A14" s="83" t="s">
        <v>269</v>
      </c>
      <c r="B14" s="84"/>
      <c r="C14" s="85"/>
      <c r="D14" s="6" t="s">
        <v>270</v>
      </c>
      <c r="E14" s="5" t="s">
        <v>271</v>
      </c>
      <c r="F14" s="6" t="s">
        <v>272</v>
      </c>
      <c r="G14" s="5" t="s">
        <v>273</v>
      </c>
      <c r="H14" s="6" t="s">
        <v>274</v>
      </c>
      <c r="I14" s="83" t="s">
        <v>275</v>
      </c>
      <c r="J14" s="85"/>
      <c r="K14" s="6" t="s">
        <v>276</v>
      </c>
      <c r="L14" s="5" t="s">
        <v>277</v>
      </c>
      <c r="M14" s="120" t="s">
        <v>278</v>
      </c>
      <c r="N14" s="93"/>
      <c r="O14" s="5" t="s">
        <v>279</v>
      </c>
    </row>
    <row r="15" spans="1:15" ht="11.4" customHeight="1" x14ac:dyDescent="0.3">
      <c r="A15" s="101" t="s">
        <v>1332</v>
      </c>
      <c r="B15" s="84"/>
      <c r="C15" s="85"/>
      <c r="D15" s="9" t="s">
        <v>429</v>
      </c>
      <c r="E15" s="14" t="s">
        <v>1343</v>
      </c>
      <c r="F15" s="11" t="s">
        <v>879</v>
      </c>
      <c r="G15" s="15" t="s">
        <v>525</v>
      </c>
      <c r="H15" s="11" t="s">
        <v>1153</v>
      </c>
      <c r="I15" s="141" t="s">
        <v>7</v>
      </c>
      <c r="J15" s="85"/>
      <c r="K15" s="11" t="s">
        <v>973</v>
      </c>
      <c r="L15" s="14" t="s">
        <v>287</v>
      </c>
      <c r="M15" s="88" t="s">
        <v>302</v>
      </c>
      <c r="N15" s="85"/>
      <c r="O15" s="16" t="s">
        <v>289</v>
      </c>
    </row>
    <row r="16" spans="1:15" ht="11.4" customHeight="1" x14ac:dyDescent="0.3">
      <c r="A16" s="88" t="s">
        <v>1332</v>
      </c>
      <c r="B16" s="84"/>
      <c r="C16" s="85"/>
      <c r="D16" s="14" t="s">
        <v>281</v>
      </c>
      <c r="E16" s="9" t="s">
        <v>1344</v>
      </c>
      <c r="F16" s="15" t="s">
        <v>943</v>
      </c>
      <c r="G16" s="11" t="s">
        <v>1324</v>
      </c>
      <c r="H16" s="15" t="s">
        <v>976</v>
      </c>
      <c r="I16" s="141" t="s">
        <v>7</v>
      </c>
      <c r="J16" s="85"/>
      <c r="K16" s="15" t="s">
        <v>314</v>
      </c>
      <c r="L16" s="9" t="s">
        <v>287</v>
      </c>
      <c r="M16" s="88" t="s">
        <v>302</v>
      </c>
      <c r="N16" s="85"/>
      <c r="O16" s="9" t="s">
        <v>289</v>
      </c>
    </row>
    <row r="17" spans="1:15" ht="11.4" customHeight="1" x14ac:dyDescent="0.3">
      <c r="A17" s="101" t="s">
        <v>1332</v>
      </c>
      <c r="B17" s="84"/>
      <c r="C17" s="85"/>
      <c r="D17" s="9" t="s">
        <v>450</v>
      </c>
      <c r="E17" s="14" t="s">
        <v>1345</v>
      </c>
      <c r="F17" s="11" t="s">
        <v>1126</v>
      </c>
      <c r="G17" s="15" t="s">
        <v>490</v>
      </c>
      <c r="H17" s="11" t="s">
        <v>1346</v>
      </c>
      <c r="I17" s="141" t="s">
        <v>7</v>
      </c>
      <c r="J17" s="85"/>
      <c r="K17" s="11" t="s">
        <v>434</v>
      </c>
      <c r="L17" s="14" t="s">
        <v>287</v>
      </c>
      <c r="M17" s="88" t="s">
        <v>302</v>
      </c>
      <c r="N17" s="85"/>
      <c r="O17" s="16" t="s">
        <v>289</v>
      </c>
    </row>
    <row r="18" spans="1:15" ht="11.4" customHeight="1" x14ac:dyDescent="0.3">
      <c r="A18" s="88" t="s">
        <v>1332</v>
      </c>
      <c r="B18" s="84"/>
      <c r="C18" s="85"/>
      <c r="D18" s="14" t="s">
        <v>355</v>
      </c>
      <c r="E18" s="9" t="s">
        <v>1347</v>
      </c>
      <c r="F18" s="15" t="s">
        <v>312</v>
      </c>
      <c r="G18" s="11" t="s">
        <v>1348</v>
      </c>
      <c r="H18" s="15" t="s">
        <v>359</v>
      </c>
      <c r="I18" s="141" t="s">
        <v>7</v>
      </c>
      <c r="J18" s="85"/>
      <c r="K18" s="15" t="s">
        <v>1349</v>
      </c>
      <c r="L18" s="9" t="s">
        <v>287</v>
      </c>
      <c r="M18" s="88" t="s">
        <v>302</v>
      </c>
      <c r="N18" s="85"/>
      <c r="O18" s="9" t="s">
        <v>289</v>
      </c>
    </row>
    <row r="19" spans="1:15" ht="11.4" customHeight="1" x14ac:dyDescent="0.3">
      <c r="A19" s="101" t="s">
        <v>1332</v>
      </c>
      <c r="B19" s="84"/>
      <c r="C19" s="85"/>
      <c r="D19" s="9" t="s">
        <v>315</v>
      </c>
      <c r="E19" s="14" t="s">
        <v>1350</v>
      </c>
      <c r="F19" s="11" t="s">
        <v>1351</v>
      </c>
      <c r="G19" s="15" t="s">
        <v>1352</v>
      </c>
      <c r="H19" s="11" t="s">
        <v>1353</v>
      </c>
      <c r="I19" s="141" t="s">
        <v>7</v>
      </c>
      <c r="J19" s="85"/>
      <c r="K19" s="11" t="s">
        <v>301</v>
      </c>
      <c r="L19" s="14" t="s">
        <v>287</v>
      </c>
      <c r="M19" s="88" t="s">
        <v>302</v>
      </c>
      <c r="N19" s="85"/>
      <c r="O19" s="16" t="s">
        <v>289</v>
      </c>
    </row>
    <row r="20" spans="1:15" ht="11.4" customHeight="1" x14ac:dyDescent="0.3">
      <c r="A20" s="88" t="s">
        <v>1332</v>
      </c>
      <c r="B20" s="84"/>
      <c r="C20" s="85"/>
      <c r="D20" s="14" t="s">
        <v>1127</v>
      </c>
      <c r="E20" s="9" t="s">
        <v>1354</v>
      </c>
      <c r="F20" s="15" t="s">
        <v>1355</v>
      </c>
      <c r="G20" s="11" t="s">
        <v>669</v>
      </c>
      <c r="H20" s="15" t="s">
        <v>1136</v>
      </c>
      <c r="I20" s="141" t="s">
        <v>7</v>
      </c>
      <c r="J20" s="85"/>
      <c r="K20" s="15" t="s">
        <v>1085</v>
      </c>
      <c r="L20" s="9" t="s">
        <v>287</v>
      </c>
      <c r="M20" s="88" t="s">
        <v>302</v>
      </c>
      <c r="N20" s="85"/>
      <c r="O20" s="9" t="s">
        <v>289</v>
      </c>
    </row>
    <row r="21" spans="1:15" ht="11.4" customHeight="1" x14ac:dyDescent="0.3">
      <c r="A21" s="101" t="s">
        <v>1332</v>
      </c>
      <c r="B21" s="84"/>
      <c r="C21" s="85"/>
      <c r="D21" s="9" t="s">
        <v>303</v>
      </c>
      <c r="E21" s="14" t="s">
        <v>1356</v>
      </c>
      <c r="F21" s="11" t="s">
        <v>283</v>
      </c>
      <c r="G21" s="15" t="s">
        <v>1357</v>
      </c>
      <c r="H21" s="11" t="s">
        <v>387</v>
      </c>
      <c r="I21" s="141" t="s">
        <v>7</v>
      </c>
      <c r="J21" s="85"/>
      <c r="K21" s="11" t="s">
        <v>1358</v>
      </c>
      <c r="L21" s="14" t="s">
        <v>287</v>
      </c>
      <c r="M21" s="88" t="s">
        <v>302</v>
      </c>
      <c r="N21" s="85"/>
      <c r="O21" s="16" t="s">
        <v>309</v>
      </c>
    </row>
    <row r="22" spans="1:15" ht="11.4" customHeight="1" x14ac:dyDescent="0.3">
      <c r="A22" s="88" t="s">
        <v>1332</v>
      </c>
      <c r="B22" s="84"/>
      <c r="C22" s="85"/>
      <c r="D22" s="8" t="s">
        <v>561</v>
      </c>
      <c r="E22" s="9" t="s">
        <v>1359</v>
      </c>
      <c r="F22" s="10" t="s">
        <v>1303</v>
      </c>
      <c r="G22" s="11" t="s">
        <v>683</v>
      </c>
      <c r="H22" s="10" t="s">
        <v>1360</v>
      </c>
      <c r="I22" s="141" t="s">
        <v>7</v>
      </c>
      <c r="J22" s="85"/>
      <c r="K22" s="10" t="s">
        <v>960</v>
      </c>
      <c r="L22" s="9" t="s">
        <v>287</v>
      </c>
      <c r="M22" s="88" t="s">
        <v>302</v>
      </c>
      <c r="N22" s="85"/>
      <c r="O22" s="9" t="s">
        <v>309</v>
      </c>
    </row>
    <row r="23" spans="1:15" ht="2.85" customHeight="1" x14ac:dyDescent="0.3"/>
    <row r="24" spans="1:15" ht="11.4" customHeight="1" x14ac:dyDescent="0.3">
      <c r="A24" s="94" t="s">
        <v>339</v>
      </c>
      <c r="B24" s="81"/>
      <c r="C24" s="81"/>
      <c r="D24" s="81"/>
      <c r="E24" s="81"/>
      <c r="F24" s="81"/>
      <c r="G24" s="81"/>
      <c r="H24" s="12" t="s">
        <v>1361</v>
      </c>
      <c r="I24" s="142" t="s">
        <v>9</v>
      </c>
      <c r="J24" s="143"/>
      <c r="K24" s="97" t="s">
        <v>291</v>
      </c>
      <c r="L24" s="81"/>
      <c r="M24" s="81"/>
      <c r="N24" s="97" t="s">
        <v>292</v>
      </c>
      <c r="O24" s="81"/>
    </row>
    <row r="25" spans="1:15" ht="11.4" customHeight="1" x14ac:dyDescent="0.3">
      <c r="F25" s="97" t="s">
        <v>293</v>
      </c>
      <c r="G25" s="81"/>
      <c r="H25" s="13" t="s">
        <v>1362</v>
      </c>
      <c r="I25" s="144" t="s">
        <v>9</v>
      </c>
      <c r="J25" s="145"/>
      <c r="K25" s="100" t="s">
        <v>295</v>
      </c>
      <c r="L25" s="81"/>
      <c r="M25" s="81"/>
      <c r="N25" s="100" t="s">
        <v>295</v>
      </c>
      <c r="O25" s="81"/>
    </row>
    <row r="26" spans="1:15" ht="20.100000000000001" customHeight="1" x14ac:dyDescent="0.3"/>
    <row r="27" spans="1:15" ht="11.4" customHeight="1" x14ac:dyDescent="0.3">
      <c r="A27" s="91" t="s">
        <v>269</v>
      </c>
      <c r="B27" s="92"/>
      <c r="C27" s="93"/>
      <c r="D27" s="5" t="s">
        <v>270</v>
      </c>
      <c r="E27" s="6" t="s">
        <v>271</v>
      </c>
      <c r="F27" s="5" t="s">
        <v>272</v>
      </c>
      <c r="G27" s="6" t="s">
        <v>273</v>
      </c>
      <c r="H27" s="5" t="s">
        <v>274</v>
      </c>
      <c r="I27" s="120" t="s">
        <v>275</v>
      </c>
      <c r="J27" s="93"/>
      <c r="K27" s="5" t="s">
        <v>276</v>
      </c>
      <c r="L27" s="6" t="s">
        <v>277</v>
      </c>
      <c r="M27" s="83" t="s">
        <v>278</v>
      </c>
      <c r="N27" s="85"/>
      <c r="O27" s="7" t="s">
        <v>279</v>
      </c>
    </row>
    <row r="28" spans="1:15" ht="11.4" customHeight="1" x14ac:dyDescent="0.3">
      <c r="A28" s="88" t="s">
        <v>1332</v>
      </c>
      <c r="B28" s="84"/>
      <c r="C28" s="85"/>
      <c r="D28" s="14" t="s">
        <v>759</v>
      </c>
      <c r="E28" s="9" t="s">
        <v>7</v>
      </c>
      <c r="F28" s="15" t="s">
        <v>847</v>
      </c>
      <c r="G28" s="11" t="s">
        <v>1363</v>
      </c>
      <c r="H28" s="15" t="s">
        <v>1364</v>
      </c>
      <c r="I28" s="141" t="s">
        <v>7</v>
      </c>
      <c r="J28" s="85"/>
      <c r="K28" s="15" t="s">
        <v>811</v>
      </c>
      <c r="L28" s="9" t="s">
        <v>287</v>
      </c>
      <c r="M28" s="88" t="s">
        <v>348</v>
      </c>
      <c r="N28" s="85"/>
      <c r="O28" s="9" t="s">
        <v>709</v>
      </c>
    </row>
    <row r="29" spans="1:15" ht="11.4" customHeight="1" x14ac:dyDescent="0.3">
      <c r="A29" s="111" t="s">
        <v>1332</v>
      </c>
      <c r="B29" s="112"/>
      <c r="C29" s="106"/>
      <c r="D29" s="9" t="s">
        <v>800</v>
      </c>
      <c r="E29" s="8" t="s">
        <v>1365</v>
      </c>
      <c r="F29" s="11" t="s">
        <v>1122</v>
      </c>
      <c r="G29" s="10" t="s">
        <v>1366</v>
      </c>
      <c r="H29" s="11" t="s">
        <v>1367</v>
      </c>
      <c r="I29" s="147" t="s">
        <v>7</v>
      </c>
      <c r="J29" s="106"/>
      <c r="K29" s="11" t="s">
        <v>449</v>
      </c>
      <c r="L29" s="8" t="s">
        <v>287</v>
      </c>
      <c r="M29" s="88" t="s">
        <v>348</v>
      </c>
      <c r="N29" s="85"/>
      <c r="O29" s="9" t="s">
        <v>289</v>
      </c>
    </row>
    <row r="30" spans="1:15" ht="2.85" customHeight="1" x14ac:dyDescent="0.3"/>
    <row r="31" spans="1:15" ht="11.4" customHeight="1" x14ac:dyDescent="0.3">
      <c r="A31" s="94" t="s">
        <v>361</v>
      </c>
      <c r="B31" s="81"/>
      <c r="C31" s="81"/>
      <c r="D31" s="81"/>
      <c r="E31" s="81"/>
      <c r="F31" s="81"/>
      <c r="G31" s="81"/>
      <c r="H31" s="12" t="s">
        <v>1368</v>
      </c>
      <c r="I31" s="142" t="s">
        <v>9</v>
      </c>
      <c r="J31" s="143"/>
      <c r="K31" s="97" t="s">
        <v>291</v>
      </c>
      <c r="L31" s="81"/>
      <c r="M31" s="81"/>
      <c r="N31" s="97" t="s">
        <v>292</v>
      </c>
      <c r="O31" s="81"/>
    </row>
    <row r="32" spans="1:15" ht="11.4" customHeight="1" x14ac:dyDescent="0.3">
      <c r="F32" s="97" t="s">
        <v>293</v>
      </c>
      <c r="G32" s="81"/>
      <c r="H32" s="13" t="s">
        <v>1369</v>
      </c>
      <c r="I32" s="144" t="s">
        <v>9</v>
      </c>
      <c r="J32" s="145"/>
      <c r="K32" s="100" t="s">
        <v>295</v>
      </c>
      <c r="L32" s="81"/>
      <c r="M32" s="81"/>
      <c r="N32" s="100" t="s">
        <v>295</v>
      </c>
      <c r="O32" s="81"/>
    </row>
    <row r="33" spans="1:15" ht="20.100000000000001" customHeight="1" x14ac:dyDescent="0.3"/>
    <row r="34" spans="1:15" ht="11.4" customHeight="1" x14ac:dyDescent="0.3">
      <c r="A34" s="83" t="s">
        <v>269</v>
      </c>
      <c r="B34" s="84"/>
      <c r="C34" s="85"/>
      <c r="D34" s="6" t="s">
        <v>270</v>
      </c>
      <c r="E34" s="5" t="s">
        <v>271</v>
      </c>
      <c r="F34" s="6" t="s">
        <v>272</v>
      </c>
      <c r="G34" s="5" t="s">
        <v>273</v>
      </c>
      <c r="H34" s="6" t="s">
        <v>274</v>
      </c>
      <c r="I34" s="83" t="s">
        <v>275</v>
      </c>
      <c r="J34" s="85"/>
      <c r="K34" s="6" t="s">
        <v>276</v>
      </c>
      <c r="L34" s="5" t="s">
        <v>277</v>
      </c>
      <c r="M34" s="120" t="s">
        <v>278</v>
      </c>
      <c r="N34" s="93"/>
      <c r="O34" s="5" t="s">
        <v>279</v>
      </c>
    </row>
    <row r="35" spans="1:15" ht="11.4" customHeight="1" x14ac:dyDescent="0.3">
      <c r="A35" s="101" t="s">
        <v>1332</v>
      </c>
      <c r="B35" s="84"/>
      <c r="C35" s="85"/>
      <c r="D35" s="9" t="s">
        <v>1370</v>
      </c>
      <c r="E35" s="14" t="s">
        <v>1371</v>
      </c>
      <c r="F35" s="11" t="s">
        <v>474</v>
      </c>
      <c r="G35" s="15" t="s">
        <v>1372</v>
      </c>
      <c r="H35" s="11" t="s">
        <v>1373</v>
      </c>
      <c r="I35" s="141" t="s">
        <v>7</v>
      </c>
      <c r="J35" s="85"/>
      <c r="K35" s="11" t="s">
        <v>724</v>
      </c>
      <c r="L35" s="14" t="s">
        <v>370</v>
      </c>
      <c r="M35" s="88" t="s">
        <v>371</v>
      </c>
      <c r="N35" s="85"/>
      <c r="O35" s="16" t="s">
        <v>309</v>
      </c>
    </row>
    <row r="36" spans="1:15" ht="11.4" customHeight="1" x14ac:dyDescent="0.3">
      <c r="A36" s="88" t="s">
        <v>1332</v>
      </c>
      <c r="B36" s="84"/>
      <c r="C36" s="85"/>
      <c r="D36" s="14" t="s">
        <v>372</v>
      </c>
      <c r="E36" s="9" t="s">
        <v>1374</v>
      </c>
      <c r="F36" s="15" t="s">
        <v>1375</v>
      </c>
      <c r="G36" s="11" t="s">
        <v>798</v>
      </c>
      <c r="H36" s="15" t="s">
        <v>1180</v>
      </c>
      <c r="I36" s="141" t="s">
        <v>7</v>
      </c>
      <c r="J36" s="85"/>
      <c r="K36" s="15" t="s">
        <v>1376</v>
      </c>
      <c r="L36" s="9" t="s">
        <v>370</v>
      </c>
      <c r="M36" s="88" t="s">
        <v>371</v>
      </c>
      <c r="N36" s="85"/>
      <c r="O36" s="9" t="s">
        <v>289</v>
      </c>
    </row>
    <row r="37" spans="1:15" ht="11.4" customHeight="1" x14ac:dyDescent="0.3">
      <c r="A37" s="101" t="s">
        <v>1332</v>
      </c>
      <c r="B37" s="84"/>
      <c r="C37" s="85"/>
      <c r="D37" s="9" t="s">
        <v>383</v>
      </c>
      <c r="E37" s="14" t="s">
        <v>1377</v>
      </c>
      <c r="F37" s="11" t="s">
        <v>1378</v>
      </c>
      <c r="G37" s="15" t="s">
        <v>1379</v>
      </c>
      <c r="H37" s="11" t="s">
        <v>1380</v>
      </c>
      <c r="I37" s="141" t="s">
        <v>7</v>
      </c>
      <c r="J37" s="85"/>
      <c r="K37" s="11" t="s">
        <v>597</v>
      </c>
      <c r="L37" s="14" t="s">
        <v>370</v>
      </c>
      <c r="M37" s="88" t="s">
        <v>371</v>
      </c>
      <c r="N37" s="85"/>
      <c r="O37" s="16" t="s">
        <v>289</v>
      </c>
    </row>
    <row r="38" spans="1:15" ht="11.4" customHeight="1" x14ac:dyDescent="0.3">
      <c r="A38" s="88" t="s">
        <v>1332</v>
      </c>
      <c r="B38" s="84"/>
      <c r="C38" s="85"/>
      <c r="D38" s="14" t="s">
        <v>389</v>
      </c>
      <c r="E38" s="9" t="s">
        <v>1381</v>
      </c>
      <c r="F38" s="15" t="s">
        <v>1129</v>
      </c>
      <c r="G38" s="11" t="s">
        <v>882</v>
      </c>
      <c r="H38" s="15" t="s">
        <v>1136</v>
      </c>
      <c r="I38" s="141" t="s">
        <v>7</v>
      </c>
      <c r="J38" s="85"/>
      <c r="K38" s="15" t="s">
        <v>416</v>
      </c>
      <c r="L38" s="9" t="s">
        <v>370</v>
      </c>
      <c r="M38" s="88" t="s">
        <v>371</v>
      </c>
      <c r="N38" s="85"/>
      <c r="O38" s="9" t="s">
        <v>309</v>
      </c>
    </row>
    <row r="39" spans="1:15" ht="11.4" customHeight="1" x14ac:dyDescent="0.3">
      <c r="A39" s="101" t="s">
        <v>1332</v>
      </c>
      <c r="B39" s="84"/>
      <c r="C39" s="85"/>
      <c r="D39" s="9" t="s">
        <v>1382</v>
      </c>
      <c r="E39" s="14" t="s">
        <v>1383</v>
      </c>
      <c r="F39" s="11" t="s">
        <v>1338</v>
      </c>
      <c r="G39" s="15" t="s">
        <v>426</v>
      </c>
      <c r="H39" s="11" t="s">
        <v>731</v>
      </c>
      <c r="I39" s="141" t="s">
        <v>7</v>
      </c>
      <c r="J39" s="85"/>
      <c r="K39" s="11" t="s">
        <v>354</v>
      </c>
      <c r="L39" s="14" t="s">
        <v>287</v>
      </c>
      <c r="M39" s="88" t="s">
        <v>371</v>
      </c>
      <c r="N39" s="85"/>
      <c r="O39" s="16" t="s">
        <v>309</v>
      </c>
    </row>
    <row r="40" spans="1:15" ht="11.4" customHeight="1" x14ac:dyDescent="0.3">
      <c r="A40" s="88" t="s">
        <v>1332</v>
      </c>
      <c r="B40" s="84"/>
      <c r="C40" s="85"/>
      <c r="D40" s="14" t="s">
        <v>296</v>
      </c>
      <c r="E40" s="9" t="s">
        <v>1384</v>
      </c>
      <c r="F40" s="15" t="s">
        <v>1122</v>
      </c>
      <c r="G40" s="11" t="s">
        <v>1385</v>
      </c>
      <c r="H40" s="15" t="s">
        <v>421</v>
      </c>
      <c r="I40" s="141" t="s">
        <v>7</v>
      </c>
      <c r="J40" s="85"/>
      <c r="K40" s="15" t="s">
        <v>1386</v>
      </c>
      <c r="L40" s="9" t="s">
        <v>287</v>
      </c>
      <c r="M40" s="88" t="s">
        <v>371</v>
      </c>
      <c r="N40" s="85"/>
      <c r="O40" s="9" t="s">
        <v>289</v>
      </c>
    </row>
    <row r="41" spans="1:15" ht="11.4" customHeight="1" x14ac:dyDescent="0.3">
      <c r="A41" s="101" t="s">
        <v>1332</v>
      </c>
      <c r="B41" s="84"/>
      <c r="C41" s="85"/>
      <c r="D41" s="9" t="s">
        <v>1387</v>
      </c>
      <c r="E41" s="14" t="s">
        <v>1388</v>
      </c>
      <c r="F41" s="11" t="s">
        <v>474</v>
      </c>
      <c r="G41" s="15" t="s">
        <v>1389</v>
      </c>
      <c r="H41" s="11" t="s">
        <v>959</v>
      </c>
      <c r="I41" s="141" t="s">
        <v>7</v>
      </c>
      <c r="J41" s="85"/>
      <c r="K41" s="11" t="s">
        <v>471</v>
      </c>
      <c r="L41" s="14" t="s">
        <v>287</v>
      </c>
      <c r="M41" s="88" t="s">
        <v>371</v>
      </c>
      <c r="N41" s="85"/>
      <c r="O41" s="16" t="s">
        <v>289</v>
      </c>
    </row>
    <row r="42" spans="1:15" ht="11.4" customHeight="1" x14ac:dyDescent="0.3">
      <c r="A42" s="88" t="s">
        <v>1332</v>
      </c>
      <c r="B42" s="84"/>
      <c r="C42" s="85"/>
      <c r="D42" s="14" t="s">
        <v>1390</v>
      </c>
      <c r="E42" s="9" t="s">
        <v>1391</v>
      </c>
      <c r="F42" s="15" t="s">
        <v>975</v>
      </c>
      <c r="G42" s="11" t="s">
        <v>669</v>
      </c>
      <c r="H42" s="15" t="s">
        <v>1346</v>
      </c>
      <c r="I42" s="141" t="s">
        <v>7</v>
      </c>
      <c r="J42" s="85"/>
      <c r="K42" s="15" t="s">
        <v>850</v>
      </c>
      <c r="L42" s="9" t="s">
        <v>287</v>
      </c>
      <c r="M42" s="88" t="s">
        <v>371</v>
      </c>
      <c r="N42" s="85"/>
      <c r="O42" s="9" t="s">
        <v>289</v>
      </c>
    </row>
    <row r="43" spans="1:15" ht="11.4" customHeight="1" x14ac:dyDescent="0.3">
      <c r="A43" s="111" t="s">
        <v>1332</v>
      </c>
      <c r="B43" s="112"/>
      <c r="C43" s="106"/>
      <c r="D43" s="9" t="s">
        <v>1392</v>
      </c>
      <c r="E43" s="8" t="s">
        <v>1393</v>
      </c>
      <c r="F43" s="11" t="s">
        <v>784</v>
      </c>
      <c r="G43" s="10" t="s">
        <v>1352</v>
      </c>
      <c r="H43" s="11" t="s">
        <v>1394</v>
      </c>
      <c r="I43" s="147" t="s">
        <v>7</v>
      </c>
      <c r="J43" s="106"/>
      <c r="K43" s="11" t="s">
        <v>320</v>
      </c>
      <c r="L43" s="8" t="s">
        <v>370</v>
      </c>
      <c r="M43" s="88" t="s">
        <v>371</v>
      </c>
      <c r="N43" s="85"/>
      <c r="O43" s="9" t="s">
        <v>309</v>
      </c>
    </row>
    <row r="44" spans="1:15" ht="2.85" customHeight="1" x14ac:dyDescent="0.3"/>
    <row r="45" spans="1:15" ht="11.4" customHeight="1" x14ac:dyDescent="0.3">
      <c r="A45" s="94" t="s">
        <v>478</v>
      </c>
      <c r="B45" s="81"/>
      <c r="C45" s="81"/>
      <c r="D45" s="81"/>
      <c r="E45" s="81"/>
      <c r="F45" s="81"/>
      <c r="G45" s="81"/>
      <c r="H45" s="12" t="s">
        <v>1395</v>
      </c>
      <c r="I45" s="142" t="s">
        <v>9</v>
      </c>
      <c r="J45" s="143"/>
      <c r="K45" s="97" t="s">
        <v>291</v>
      </c>
      <c r="L45" s="81"/>
      <c r="M45" s="81"/>
      <c r="N45" s="97" t="s">
        <v>292</v>
      </c>
      <c r="O45" s="81"/>
    </row>
    <row r="46" spans="1:15" ht="11.4" customHeight="1" x14ac:dyDescent="0.3">
      <c r="F46" s="97" t="s">
        <v>293</v>
      </c>
      <c r="G46" s="81"/>
      <c r="H46" s="13" t="s">
        <v>1396</v>
      </c>
      <c r="I46" s="144" t="s">
        <v>9</v>
      </c>
      <c r="J46" s="145"/>
      <c r="K46" s="100" t="s">
        <v>295</v>
      </c>
      <c r="L46" s="81"/>
      <c r="M46" s="81"/>
      <c r="N46" s="100" t="s">
        <v>295</v>
      </c>
      <c r="O46" s="81"/>
    </row>
    <row r="47" spans="1:15" ht="20.100000000000001" customHeight="1" x14ac:dyDescent="0.3"/>
    <row r="48" spans="1:15" ht="11.4" customHeight="1" x14ac:dyDescent="0.3">
      <c r="A48" s="83" t="s">
        <v>269</v>
      </c>
      <c r="B48" s="84"/>
      <c r="C48" s="85"/>
      <c r="D48" s="6" t="s">
        <v>270</v>
      </c>
      <c r="E48" s="55" t="s">
        <v>271</v>
      </c>
      <c r="F48" s="6" t="s">
        <v>272</v>
      </c>
      <c r="G48" s="55" t="s">
        <v>273</v>
      </c>
      <c r="H48" s="6" t="s">
        <v>274</v>
      </c>
      <c r="I48" s="153" t="s">
        <v>275</v>
      </c>
      <c r="J48" s="106"/>
      <c r="K48" s="6" t="s">
        <v>276</v>
      </c>
      <c r="L48" s="55" t="s">
        <v>277</v>
      </c>
      <c r="M48" s="120" t="s">
        <v>278</v>
      </c>
      <c r="N48" s="93"/>
      <c r="O48" s="55" t="s">
        <v>279</v>
      </c>
    </row>
    <row r="49" spans="1:15" ht="11.4" customHeight="1" x14ac:dyDescent="0.3">
      <c r="A49" s="101" t="s">
        <v>1332</v>
      </c>
      <c r="B49" s="84"/>
      <c r="C49" s="85"/>
      <c r="D49" s="28" t="s">
        <v>545</v>
      </c>
      <c r="E49" s="25" t="s">
        <v>1397</v>
      </c>
      <c r="F49" s="27" t="s">
        <v>901</v>
      </c>
      <c r="G49" s="24" t="s">
        <v>1324</v>
      </c>
      <c r="H49" s="27" t="s">
        <v>7</v>
      </c>
      <c r="I49" s="149" t="s">
        <v>549</v>
      </c>
      <c r="J49" s="93"/>
      <c r="K49" s="27" t="s">
        <v>1111</v>
      </c>
      <c r="L49" s="25" t="s">
        <v>4</v>
      </c>
      <c r="M49" s="105" t="s">
        <v>486</v>
      </c>
      <c r="N49" s="106"/>
      <c r="O49" s="26" t="s">
        <v>309</v>
      </c>
    </row>
    <row r="50" spans="1:15" ht="11.4" customHeight="1" x14ac:dyDescent="0.3">
      <c r="A50" s="105" t="s">
        <v>1332</v>
      </c>
      <c r="B50" s="112"/>
      <c r="C50" s="106"/>
      <c r="D50" s="25" t="s">
        <v>481</v>
      </c>
      <c r="E50" s="28" t="s">
        <v>1398</v>
      </c>
      <c r="F50" s="24" t="s">
        <v>704</v>
      </c>
      <c r="G50" s="27" t="s">
        <v>299</v>
      </c>
      <c r="H50" s="24" t="s">
        <v>7</v>
      </c>
      <c r="I50" s="124" t="s">
        <v>1256</v>
      </c>
      <c r="J50" s="125"/>
      <c r="K50" s="24" t="s">
        <v>637</v>
      </c>
      <c r="L50" s="28" t="s">
        <v>4</v>
      </c>
      <c r="M50" s="116" t="s">
        <v>486</v>
      </c>
      <c r="N50" s="93"/>
      <c r="O50" s="28" t="s">
        <v>309</v>
      </c>
    </row>
    <row r="51" spans="1:15" ht="11.4" customHeight="1" x14ac:dyDescent="0.3">
      <c r="A51" s="121" t="s">
        <v>1332</v>
      </c>
      <c r="B51" s="92"/>
      <c r="C51" s="93"/>
      <c r="D51" s="28" t="s">
        <v>504</v>
      </c>
      <c r="E51" s="25" t="s">
        <v>1399</v>
      </c>
      <c r="F51" s="27" t="s">
        <v>1400</v>
      </c>
      <c r="G51" s="24" t="s">
        <v>683</v>
      </c>
      <c r="H51" s="27" t="s">
        <v>7</v>
      </c>
      <c r="I51" s="122" t="s">
        <v>1401</v>
      </c>
      <c r="J51" s="123"/>
      <c r="K51" s="27" t="s">
        <v>565</v>
      </c>
      <c r="L51" s="25" t="s">
        <v>4</v>
      </c>
      <c r="M51" s="105" t="s">
        <v>486</v>
      </c>
      <c r="N51" s="106"/>
      <c r="O51" s="26" t="s">
        <v>309</v>
      </c>
    </row>
    <row r="52" spans="1:15" ht="11.4" customHeight="1" x14ac:dyDescent="0.3">
      <c r="A52" s="105" t="s">
        <v>1332</v>
      </c>
      <c r="B52" s="112"/>
      <c r="C52" s="106"/>
      <c r="D52" s="25" t="s">
        <v>498</v>
      </c>
      <c r="E52" s="28" t="s">
        <v>1402</v>
      </c>
      <c r="F52" s="24" t="s">
        <v>552</v>
      </c>
      <c r="G52" s="27" t="s">
        <v>695</v>
      </c>
      <c r="H52" s="24" t="s">
        <v>7</v>
      </c>
      <c r="I52" s="124" t="s">
        <v>620</v>
      </c>
      <c r="J52" s="125"/>
      <c r="K52" s="24" t="s">
        <v>485</v>
      </c>
      <c r="L52" s="28" t="s">
        <v>4</v>
      </c>
      <c r="M52" s="116" t="s">
        <v>486</v>
      </c>
      <c r="N52" s="93"/>
      <c r="O52" s="28" t="s">
        <v>289</v>
      </c>
    </row>
    <row r="53" spans="1:15" ht="11.4" customHeight="1" x14ac:dyDescent="0.3">
      <c r="A53" s="121" t="s">
        <v>1332</v>
      </c>
      <c r="B53" s="92"/>
      <c r="C53" s="93"/>
      <c r="D53" s="28" t="s">
        <v>1047</v>
      </c>
      <c r="E53" s="25" t="s">
        <v>1403</v>
      </c>
      <c r="F53" s="27" t="s">
        <v>733</v>
      </c>
      <c r="G53" s="24" t="s">
        <v>512</v>
      </c>
      <c r="H53" s="27" t="s">
        <v>7</v>
      </c>
      <c r="I53" s="122" t="s">
        <v>1404</v>
      </c>
      <c r="J53" s="123"/>
      <c r="K53" s="27" t="s">
        <v>667</v>
      </c>
      <c r="L53" s="25" t="s">
        <v>4</v>
      </c>
      <c r="M53" s="105" t="s">
        <v>486</v>
      </c>
      <c r="N53" s="106"/>
      <c r="O53" s="26" t="s">
        <v>289</v>
      </c>
    </row>
    <row r="54" spans="1:15" ht="11.4" customHeight="1" x14ac:dyDescent="0.3">
      <c r="A54" s="105" t="s">
        <v>1332</v>
      </c>
      <c r="B54" s="112"/>
      <c r="C54" s="106"/>
      <c r="D54" s="25" t="s">
        <v>540</v>
      </c>
      <c r="E54" s="28" t="s">
        <v>1405</v>
      </c>
      <c r="F54" s="24" t="s">
        <v>776</v>
      </c>
      <c r="G54" s="27" t="s">
        <v>882</v>
      </c>
      <c r="H54" s="24" t="s">
        <v>7</v>
      </c>
      <c r="I54" s="124" t="s">
        <v>1406</v>
      </c>
      <c r="J54" s="125"/>
      <c r="K54" s="24" t="s">
        <v>1304</v>
      </c>
      <c r="L54" s="28" t="s">
        <v>4</v>
      </c>
      <c r="M54" s="116" t="s">
        <v>486</v>
      </c>
      <c r="N54" s="93"/>
      <c r="O54" s="28" t="s">
        <v>309</v>
      </c>
    </row>
    <row r="55" spans="1:15" ht="11.4" customHeight="1" x14ac:dyDescent="0.3">
      <c r="A55" s="121" t="s">
        <v>1332</v>
      </c>
      <c r="B55" s="92"/>
      <c r="C55" s="93"/>
      <c r="D55" s="28" t="s">
        <v>522</v>
      </c>
      <c r="E55" s="25" t="s">
        <v>1407</v>
      </c>
      <c r="F55" s="27" t="s">
        <v>409</v>
      </c>
      <c r="G55" s="24" t="s">
        <v>867</v>
      </c>
      <c r="H55" s="27" t="s">
        <v>7</v>
      </c>
      <c r="I55" s="122" t="s">
        <v>717</v>
      </c>
      <c r="J55" s="123"/>
      <c r="K55" s="27" t="s">
        <v>641</v>
      </c>
      <c r="L55" s="25" t="s">
        <v>4</v>
      </c>
      <c r="M55" s="105" t="s">
        <v>486</v>
      </c>
      <c r="N55" s="106"/>
      <c r="O55" s="26" t="s">
        <v>309</v>
      </c>
    </row>
    <row r="56" spans="1:15" ht="11.4" customHeight="1" x14ac:dyDescent="0.3">
      <c r="A56" s="105" t="s">
        <v>1332</v>
      </c>
      <c r="B56" s="112"/>
      <c r="C56" s="106"/>
      <c r="D56" s="25" t="s">
        <v>517</v>
      </c>
      <c r="E56" s="28" t="s">
        <v>1408</v>
      </c>
      <c r="F56" s="24" t="s">
        <v>329</v>
      </c>
      <c r="G56" s="27" t="s">
        <v>592</v>
      </c>
      <c r="H56" s="24" t="s">
        <v>7</v>
      </c>
      <c r="I56" s="124" t="s">
        <v>1409</v>
      </c>
      <c r="J56" s="125"/>
      <c r="K56" s="24" t="s">
        <v>576</v>
      </c>
      <c r="L56" s="28" t="s">
        <v>4</v>
      </c>
      <c r="M56" s="116" t="s">
        <v>486</v>
      </c>
      <c r="N56" s="93"/>
      <c r="O56" s="28" t="s">
        <v>289</v>
      </c>
    </row>
    <row r="57" spans="1:15" ht="11.4" customHeight="1" x14ac:dyDescent="0.3">
      <c r="A57" s="121" t="s">
        <v>1332</v>
      </c>
      <c r="B57" s="92"/>
      <c r="C57" s="93"/>
      <c r="D57" s="28" t="s">
        <v>535</v>
      </c>
      <c r="E57" s="25" t="s">
        <v>1410</v>
      </c>
      <c r="F57" s="11" t="s">
        <v>397</v>
      </c>
      <c r="G57" s="24" t="s">
        <v>988</v>
      </c>
      <c r="H57" s="11" t="s">
        <v>7</v>
      </c>
      <c r="I57" s="122" t="s">
        <v>794</v>
      </c>
      <c r="J57" s="123"/>
      <c r="K57" s="11" t="s">
        <v>565</v>
      </c>
      <c r="L57" s="25" t="s">
        <v>4</v>
      </c>
      <c r="M57" s="88" t="s">
        <v>486</v>
      </c>
      <c r="N57" s="85"/>
      <c r="O57" s="26" t="s">
        <v>309</v>
      </c>
    </row>
    <row r="58" spans="1:15" ht="11.4" customHeight="1" x14ac:dyDescent="0.3">
      <c r="A58" s="88" t="s">
        <v>1332</v>
      </c>
      <c r="B58" s="84"/>
      <c r="C58" s="85"/>
      <c r="D58" s="25" t="s">
        <v>510</v>
      </c>
      <c r="E58" s="9" t="s">
        <v>1411</v>
      </c>
      <c r="F58" s="15" t="s">
        <v>1412</v>
      </c>
      <c r="G58" s="11" t="s">
        <v>1413</v>
      </c>
      <c r="H58" s="15" t="s">
        <v>7</v>
      </c>
      <c r="I58" s="117" t="s">
        <v>1414</v>
      </c>
      <c r="J58" s="118"/>
      <c r="K58" s="15" t="s">
        <v>663</v>
      </c>
      <c r="L58" s="9" t="s">
        <v>4</v>
      </c>
      <c r="M58" s="88" t="s">
        <v>486</v>
      </c>
      <c r="N58" s="85"/>
      <c r="O58" s="9" t="s">
        <v>289</v>
      </c>
    </row>
    <row r="59" spans="1:15" ht="11.4" customHeight="1" x14ac:dyDescent="0.3">
      <c r="A59" s="101" t="s">
        <v>1332</v>
      </c>
      <c r="B59" s="84"/>
      <c r="C59" s="85"/>
      <c r="D59" s="9" t="s">
        <v>654</v>
      </c>
      <c r="E59" s="14" t="s">
        <v>1415</v>
      </c>
      <c r="F59" s="11" t="s">
        <v>431</v>
      </c>
      <c r="G59" s="15" t="s">
        <v>1416</v>
      </c>
      <c r="H59" s="11" t="s">
        <v>7</v>
      </c>
      <c r="I59" s="141" t="s">
        <v>588</v>
      </c>
      <c r="J59" s="85"/>
      <c r="K59" s="11" t="s">
        <v>681</v>
      </c>
      <c r="L59" s="14" t="s">
        <v>4</v>
      </c>
      <c r="M59" s="88" t="s">
        <v>486</v>
      </c>
      <c r="N59" s="85"/>
      <c r="O59" s="16" t="s">
        <v>309</v>
      </c>
    </row>
    <row r="60" spans="1:15" ht="11.4" customHeight="1" x14ac:dyDescent="0.3">
      <c r="A60" s="88" t="s">
        <v>1332</v>
      </c>
      <c r="B60" s="84"/>
      <c r="C60" s="85"/>
      <c r="D60" s="14" t="s">
        <v>948</v>
      </c>
      <c r="E60" s="9" t="s">
        <v>1417</v>
      </c>
      <c r="F60" s="15" t="s">
        <v>552</v>
      </c>
      <c r="G60" s="11" t="s">
        <v>642</v>
      </c>
      <c r="H60" s="15" t="s">
        <v>7</v>
      </c>
      <c r="I60" s="117" t="s">
        <v>1418</v>
      </c>
      <c r="J60" s="118"/>
      <c r="K60" s="15" t="s">
        <v>497</v>
      </c>
      <c r="L60" s="9" t="s">
        <v>4</v>
      </c>
      <c r="M60" s="88" t="s">
        <v>486</v>
      </c>
      <c r="N60" s="85"/>
      <c r="O60" s="9" t="s">
        <v>289</v>
      </c>
    </row>
    <row r="61" spans="1:15" ht="11.4" customHeight="1" x14ac:dyDescent="0.3">
      <c r="A61" s="101" t="s">
        <v>1332</v>
      </c>
      <c r="B61" s="84"/>
      <c r="C61" s="85"/>
      <c r="D61" s="9" t="s">
        <v>481</v>
      </c>
      <c r="E61" s="14" t="s">
        <v>1419</v>
      </c>
      <c r="F61" s="11" t="s">
        <v>1420</v>
      </c>
      <c r="G61" s="15" t="s">
        <v>867</v>
      </c>
      <c r="H61" s="11" t="s">
        <v>7</v>
      </c>
      <c r="I61" s="117" t="s">
        <v>1409</v>
      </c>
      <c r="J61" s="118"/>
      <c r="K61" s="11" t="s">
        <v>677</v>
      </c>
      <c r="L61" s="14" t="s">
        <v>4</v>
      </c>
      <c r="M61" s="88" t="s">
        <v>486</v>
      </c>
      <c r="N61" s="85"/>
      <c r="O61" s="16" t="s">
        <v>309</v>
      </c>
    </row>
    <row r="62" spans="1:15" ht="11.4" customHeight="1" x14ac:dyDescent="0.3">
      <c r="A62" s="88" t="s">
        <v>1332</v>
      </c>
      <c r="B62" s="84"/>
      <c r="C62" s="85"/>
      <c r="D62" s="8" t="s">
        <v>550</v>
      </c>
      <c r="E62" s="9" t="s">
        <v>1421</v>
      </c>
      <c r="F62" s="10" t="s">
        <v>1422</v>
      </c>
      <c r="G62" s="11" t="s">
        <v>605</v>
      </c>
      <c r="H62" s="10" t="s">
        <v>7</v>
      </c>
      <c r="I62" s="117" t="s">
        <v>945</v>
      </c>
      <c r="J62" s="118"/>
      <c r="K62" s="10" t="s">
        <v>894</v>
      </c>
      <c r="L62" s="9" t="s">
        <v>4</v>
      </c>
      <c r="M62" s="105" t="s">
        <v>486</v>
      </c>
      <c r="N62" s="106"/>
      <c r="O62" s="9" t="s">
        <v>289</v>
      </c>
    </row>
    <row r="63" spans="1:15" ht="14.25" customHeight="1" x14ac:dyDescent="0.3"/>
    <row r="64" spans="1:15" ht="14.25" customHeight="1" x14ac:dyDescent="0.3">
      <c r="A64" s="126" t="s">
        <v>1423</v>
      </c>
      <c r="B64" s="81"/>
      <c r="C64" s="81"/>
      <c r="D64" s="81"/>
      <c r="E64" s="81"/>
      <c r="F64" s="81"/>
      <c r="G64" s="81"/>
      <c r="H64" s="81"/>
      <c r="I64" s="81"/>
      <c r="J64" s="127" t="s">
        <v>516</v>
      </c>
      <c r="K64" s="81"/>
      <c r="L64" s="81"/>
      <c r="M64" s="81"/>
      <c r="N64" s="81"/>
      <c r="O64" s="81"/>
    </row>
    <row r="65" spans="1:15" ht="0.6" customHeight="1" x14ac:dyDescent="0.3"/>
    <row r="66" spans="1:15" ht="11.4" customHeight="1" x14ac:dyDescent="0.3">
      <c r="A66" s="121" t="s">
        <v>1332</v>
      </c>
      <c r="B66" s="92"/>
      <c r="C66" s="93"/>
      <c r="D66" s="9" t="s">
        <v>412</v>
      </c>
      <c r="E66" s="25" t="s">
        <v>1424</v>
      </c>
      <c r="F66" s="11" t="s">
        <v>879</v>
      </c>
      <c r="G66" s="24" t="s">
        <v>897</v>
      </c>
      <c r="H66" s="11" t="s">
        <v>7</v>
      </c>
      <c r="I66" s="122" t="s">
        <v>1425</v>
      </c>
      <c r="J66" s="123"/>
      <c r="K66" s="11" t="s">
        <v>416</v>
      </c>
      <c r="L66" s="25" t="s">
        <v>4</v>
      </c>
      <c r="M66" s="88" t="s">
        <v>486</v>
      </c>
      <c r="N66" s="85"/>
      <c r="O66" s="26" t="s">
        <v>309</v>
      </c>
    </row>
    <row r="67" spans="1:15" ht="11.4" customHeight="1" x14ac:dyDescent="0.3">
      <c r="A67" s="88" t="s">
        <v>1332</v>
      </c>
      <c r="B67" s="84"/>
      <c r="C67" s="85"/>
      <c r="D67" s="14" t="s">
        <v>504</v>
      </c>
      <c r="E67" s="9" t="s">
        <v>1426</v>
      </c>
      <c r="F67" s="15" t="s">
        <v>1427</v>
      </c>
      <c r="G67" s="11" t="s">
        <v>683</v>
      </c>
      <c r="H67" s="15" t="s">
        <v>7</v>
      </c>
      <c r="I67" s="117" t="s">
        <v>1428</v>
      </c>
      <c r="J67" s="118"/>
      <c r="K67" s="15" t="s">
        <v>884</v>
      </c>
      <c r="L67" s="9" t="s">
        <v>4</v>
      </c>
      <c r="M67" s="88" t="s">
        <v>486</v>
      </c>
      <c r="N67" s="85"/>
      <c r="O67" s="9" t="s">
        <v>309</v>
      </c>
    </row>
    <row r="68" spans="1:15" ht="11.4" customHeight="1" x14ac:dyDescent="0.3">
      <c r="A68" s="101" t="s">
        <v>1332</v>
      </c>
      <c r="B68" s="84"/>
      <c r="C68" s="85"/>
      <c r="D68" s="9" t="s">
        <v>545</v>
      </c>
      <c r="E68" s="14" t="s">
        <v>1429</v>
      </c>
      <c r="F68" s="11" t="s">
        <v>1430</v>
      </c>
      <c r="G68" s="15" t="s">
        <v>700</v>
      </c>
      <c r="H68" s="11" t="s">
        <v>7</v>
      </c>
      <c r="I68" s="117" t="s">
        <v>502</v>
      </c>
      <c r="J68" s="118"/>
      <c r="K68" s="11" t="s">
        <v>485</v>
      </c>
      <c r="L68" s="14" t="s">
        <v>4</v>
      </c>
      <c r="M68" s="88" t="s">
        <v>486</v>
      </c>
      <c r="N68" s="85"/>
      <c r="O68" s="16" t="s">
        <v>309</v>
      </c>
    </row>
    <row r="69" spans="1:15" ht="11.4" customHeight="1" x14ac:dyDescent="0.3">
      <c r="A69" s="88" t="s">
        <v>1332</v>
      </c>
      <c r="B69" s="84"/>
      <c r="C69" s="85"/>
      <c r="D69" s="14" t="s">
        <v>498</v>
      </c>
      <c r="E69" s="9" t="s">
        <v>1431</v>
      </c>
      <c r="F69" s="15" t="s">
        <v>385</v>
      </c>
      <c r="G69" s="11" t="s">
        <v>605</v>
      </c>
      <c r="H69" s="15" t="s">
        <v>7</v>
      </c>
      <c r="I69" s="117" t="s">
        <v>628</v>
      </c>
      <c r="J69" s="118"/>
      <c r="K69" s="15" t="s">
        <v>521</v>
      </c>
      <c r="L69" s="9" t="s">
        <v>4</v>
      </c>
      <c r="M69" s="88" t="s">
        <v>486</v>
      </c>
      <c r="N69" s="85"/>
      <c r="O69" s="9" t="s">
        <v>289</v>
      </c>
    </row>
    <row r="70" spans="1:15" ht="11.4" customHeight="1" x14ac:dyDescent="0.3">
      <c r="A70" s="101" t="s">
        <v>1332</v>
      </c>
      <c r="B70" s="84"/>
      <c r="C70" s="85"/>
      <c r="D70" s="9" t="s">
        <v>540</v>
      </c>
      <c r="E70" s="14" t="s">
        <v>1432</v>
      </c>
      <c r="F70" s="11" t="s">
        <v>1433</v>
      </c>
      <c r="G70" s="15" t="s">
        <v>484</v>
      </c>
      <c r="H70" s="11" t="s">
        <v>7</v>
      </c>
      <c r="I70" s="117" t="s">
        <v>491</v>
      </c>
      <c r="J70" s="118"/>
      <c r="K70" s="11" t="s">
        <v>416</v>
      </c>
      <c r="L70" s="14" t="s">
        <v>4</v>
      </c>
      <c r="M70" s="88" t="s">
        <v>486</v>
      </c>
      <c r="N70" s="85"/>
      <c r="O70" s="16" t="s">
        <v>309</v>
      </c>
    </row>
    <row r="71" spans="1:15" ht="11.4" customHeight="1" x14ac:dyDescent="0.3">
      <c r="A71" s="88" t="s">
        <v>1332</v>
      </c>
      <c r="B71" s="84"/>
      <c r="C71" s="85"/>
      <c r="D71" s="14" t="s">
        <v>1047</v>
      </c>
      <c r="E71" s="9" t="s">
        <v>1434</v>
      </c>
      <c r="F71" s="15" t="s">
        <v>357</v>
      </c>
      <c r="G71" s="11" t="s">
        <v>587</v>
      </c>
      <c r="H71" s="15" t="s">
        <v>7</v>
      </c>
      <c r="I71" s="117" t="s">
        <v>1236</v>
      </c>
      <c r="J71" s="118"/>
      <c r="K71" s="11" t="s">
        <v>565</v>
      </c>
      <c r="L71" s="9" t="s">
        <v>4</v>
      </c>
      <c r="M71" s="88" t="s">
        <v>486</v>
      </c>
      <c r="N71" s="85"/>
      <c r="O71" s="9" t="s">
        <v>289</v>
      </c>
    </row>
    <row r="72" spans="1:15" ht="11.4" customHeight="1" x14ac:dyDescent="0.3">
      <c r="A72" s="88" t="s">
        <v>1332</v>
      </c>
      <c r="B72" s="84"/>
      <c r="C72" s="85"/>
      <c r="D72" s="9" t="s">
        <v>510</v>
      </c>
      <c r="E72" s="9" t="s">
        <v>1435</v>
      </c>
      <c r="F72" s="11" t="s">
        <v>1436</v>
      </c>
      <c r="G72" s="11" t="s">
        <v>1413</v>
      </c>
      <c r="H72" s="11" t="s">
        <v>7</v>
      </c>
      <c r="I72" s="117" t="s">
        <v>1082</v>
      </c>
      <c r="J72" s="118"/>
      <c r="K72" s="11" t="s">
        <v>521</v>
      </c>
      <c r="L72" s="9" t="s">
        <v>4</v>
      </c>
      <c r="M72" s="88" t="s">
        <v>486</v>
      </c>
      <c r="N72" s="85"/>
      <c r="O72" s="9" t="s">
        <v>289</v>
      </c>
    </row>
    <row r="73" spans="1:15" ht="11.4" customHeight="1" x14ac:dyDescent="0.3">
      <c r="A73" s="88" t="s">
        <v>1332</v>
      </c>
      <c r="B73" s="84"/>
      <c r="C73" s="85"/>
      <c r="D73" s="9" t="s">
        <v>481</v>
      </c>
      <c r="E73" s="9" t="s">
        <v>7</v>
      </c>
      <c r="F73" s="11" t="s">
        <v>1437</v>
      </c>
      <c r="G73" s="11" t="s">
        <v>426</v>
      </c>
      <c r="H73" s="11" t="s">
        <v>7</v>
      </c>
      <c r="I73" s="117" t="s">
        <v>1438</v>
      </c>
      <c r="J73" s="118"/>
      <c r="K73" s="11" t="s">
        <v>637</v>
      </c>
      <c r="L73" s="9" t="s">
        <v>4</v>
      </c>
      <c r="M73" s="88" t="s">
        <v>486</v>
      </c>
      <c r="N73" s="85"/>
      <c r="O73" s="9" t="s">
        <v>309</v>
      </c>
    </row>
    <row r="74" spans="1:15" ht="11.4" customHeight="1" x14ac:dyDescent="0.3">
      <c r="A74" s="88" t="s">
        <v>1332</v>
      </c>
      <c r="B74" s="84"/>
      <c r="C74" s="85"/>
      <c r="D74" s="9" t="s">
        <v>504</v>
      </c>
      <c r="E74" s="9" t="s">
        <v>7</v>
      </c>
      <c r="F74" s="11" t="s">
        <v>506</v>
      </c>
      <c r="G74" s="11" t="s">
        <v>548</v>
      </c>
      <c r="H74" s="11" t="s">
        <v>7</v>
      </c>
      <c r="I74" s="117" t="s">
        <v>1439</v>
      </c>
      <c r="J74" s="118"/>
      <c r="K74" s="11" t="s">
        <v>1321</v>
      </c>
      <c r="L74" s="9" t="s">
        <v>4</v>
      </c>
      <c r="M74" s="88" t="s">
        <v>486</v>
      </c>
      <c r="N74" s="85"/>
      <c r="O74" s="9" t="s">
        <v>309</v>
      </c>
    </row>
    <row r="75" spans="1:15" ht="2.85" customHeight="1" x14ac:dyDescent="0.3"/>
    <row r="76" spans="1:15" ht="11.4" customHeight="1" x14ac:dyDescent="0.3">
      <c r="A76" s="94" t="s">
        <v>612</v>
      </c>
      <c r="B76" s="81"/>
      <c r="C76" s="81"/>
      <c r="D76" s="81"/>
      <c r="E76" s="81"/>
      <c r="F76" s="81"/>
      <c r="G76" s="81"/>
      <c r="H76" s="12" t="s">
        <v>9</v>
      </c>
      <c r="I76" s="142" t="s">
        <v>1440</v>
      </c>
      <c r="J76" s="143"/>
      <c r="K76" s="97" t="s">
        <v>291</v>
      </c>
      <c r="L76" s="81"/>
      <c r="M76" s="81"/>
      <c r="N76" s="97" t="s">
        <v>292</v>
      </c>
      <c r="O76" s="81"/>
    </row>
    <row r="77" spans="1:15" ht="11.4" customHeight="1" x14ac:dyDescent="0.3">
      <c r="F77" s="97" t="s">
        <v>293</v>
      </c>
      <c r="G77" s="81"/>
      <c r="H77" s="13" t="s">
        <v>9</v>
      </c>
      <c r="I77" s="144" t="s">
        <v>1441</v>
      </c>
      <c r="J77" s="145"/>
      <c r="K77" s="100" t="s">
        <v>295</v>
      </c>
      <c r="L77" s="81"/>
      <c r="M77" s="81"/>
      <c r="N77" s="100" t="s">
        <v>295</v>
      </c>
      <c r="O77" s="81"/>
    </row>
    <row r="78" spans="1:15" ht="408.9" customHeight="1" x14ac:dyDescent="0.3"/>
    <row r="79" spans="1:15" ht="243.6" customHeight="1" x14ac:dyDescent="0.3"/>
    <row r="80" spans="1:15" ht="14.25" customHeight="1" x14ac:dyDescent="0.3">
      <c r="A80" s="126" t="s">
        <v>1423</v>
      </c>
      <c r="B80" s="81"/>
      <c r="C80" s="81"/>
      <c r="D80" s="81"/>
      <c r="E80" s="81"/>
      <c r="F80" s="81"/>
      <c r="G80" s="81"/>
      <c r="H80" s="81"/>
      <c r="I80" s="81"/>
      <c r="J80" s="127" t="s">
        <v>615</v>
      </c>
      <c r="K80" s="81"/>
      <c r="L80" s="81"/>
      <c r="M80" s="81"/>
      <c r="N80" s="81"/>
      <c r="O80" s="81"/>
    </row>
    <row r="81" ht="11.4" customHeight="1" x14ac:dyDescent="0.3"/>
  </sheetData>
  <mergeCells count="199">
    <mergeCell ref="F77:G77"/>
    <mergeCell ref="I77:J77"/>
    <mergeCell ref="K77:M77"/>
    <mergeCell ref="N77:O77"/>
    <mergeCell ref="A80:I80"/>
    <mergeCell ref="J80:O80"/>
    <mergeCell ref="A74:C74"/>
    <mergeCell ref="I74:J74"/>
    <mergeCell ref="M74:N74"/>
    <mergeCell ref="A76:G76"/>
    <mergeCell ref="I76:J76"/>
    <mergeCell ref="K76:M76"/>
    <mergeCell ref="N76:O76"/>
    <mergeCell ref="A72:C72"/>
    <mergeCell ref="I72:J72"/>
    <mergeCell ref="M72:N72"/>
    <mergeCell ref="A73:C73"/>
    <mergeCell ref="I73:J73"/>
    <mergeCell ref="M73:N73"/>
    <mergeCell ref="A70:C70"/>
    <mergeCell ref="I70:J70"/>
    <mergeCell ref="M70:N70"/>
    <mergeCell ref="A71:C71"/>
    <mergeCell ref="I71:J71"/>
    <mergeCell ref="M71:N71"/>
    <mergeCell ref="A68:C68"/>
    <mergeCell ref="I68:J68"/>
    <mergeCell ref="M68:N68"/>
    <mergeCell ref="A69:C69"/>
    <mergeCell ref="I69:J69"/>
    <mergeCell ref="M69:N69"/>
    <mergeCell ref="A64:I64"/>
    <mergeCell ref="J64:O64"/>
    <mergeCell ref="A66:C66"/>
    <mergeCell ref="I66:J66"/>
    <mergeCell ref="M66:N66"/>
    <mergeCell ref="A67:C67"/>
    <mergeCell ref="I67:J67"/>
    <mergeCell ref="M67:N67"/>
    <mergeCell ref="A61:C61"/>
    <mergeCell ref="I61:J61"/>
    <mergeCell ref="M61:N61"/>
    <mergeCell ref="A62:C62"/>
    <mergeCell ref="I62:J62"/>
    <mergeCell ref="M62:N62"/>
    <mergeCell ref="A59:C59"/>
    <mergeCell ref="I59:J59"/>
    <mergeCell ref="M59:N59"/>
    <mergeCell ref="A60:C60"/>
    <mergeCell ref="I60:J60"/>
    <mergeCell ref="M60:N60"/>
    <mergeCell ref="A57:C57"/>
    <mergeCell ref="I57:J57"/>
    <mergeCell ref="M57:N57"/>
    <mergeCell ref="A58:C58"/>
    <mergeCell ref="I58:J58"/>
    <mergeCell ref="M58:N58"/>
    <mergeCell ref="A55:C55"/>
    <mergeCell ref="I55:J55"/>
    <mergeCell ref="M55:N55"/>
    <mergeCell ref="A56:C56"/>
    <mergeCell ref="I56:J56"/>
    <mergeCell ref="M56:N56"/>
    <mergeCell ref="A53:C53"/>
    <mergeCell ref="I53:J53"/>
    <mergeCell ref="M53:N53"/>
    <mergeCell ref="A54:C54"/>
    <mergeCell ref="I54:J54"/>
    <mergeCell ref="M54:N54"/>
    <mergeCell ref="A51:C51"/>
    <mergeCell ref="I51:J51"/>
    <mergeCell ref="M51:N51"/>
    <mergeCell ref="A52:C52"/>
    <mergeCell ref="I52:J52"/>
    <mergeCell ref="M52:N52"/>
    <mergeCell ref="A49:C49"/>
    <mergeCell ref="I49:J49"/>
    <mergeCell ref="M49:N49"/>
    <mergeCell ref="A50:C50"/>
    <mergeCell ref="I50:J50"/>
    <mergeCell ref="M50:N50"/>
    <mergeCell ref="F46:G46"/>
    <mergeCell ref="I46:J46"/>
    <mergeCell ref="K46:M46"/>
    <mergeCell ref="N46:O46"/>
    <mergeCell ref="A48:C48"/>
    <mergeCell ref="I48:J48"/>
    <mergeCell ref="M48:N48"/>
    <mergeCell ref="A43:C43"/>
    <mergeCell ref="I43:J43"/>
    <mergeCell ref="M43:N43"/>
    <mergeCell ref="A45:G45"/>
    <mergeCell ref="I45:J45"/>
    <mergeCell ref="K45:M45"/>
    <mergeCell ref="N45:O45"/>
    <mergeCell ref="A41:C41"/>
    <mergeCell ref="I41:J41"/>
    <mergeCell ref="M41:N41"/>
    <mergeCell ref="A42:C42"/>
    <mergeCell ref="I42:J42"/>
    <mergeCell ref="M42:N42"/>
    <mergeCell ref="A39:C39"/>
    <mergeCell ref="I39:J39"/>
    <mergeCell ref="M39:N39"/>
    <mergeCell ref="A40:C40"/>
    <mergeCell ref="I40:J40"/>
    <mergeCell ref="M40:N40"/>
    <mergeCell ref="A37:C37"/>
    <mergeCell ref="I37:J37"/>
    <mergeCell ref="M37:N37"/>
    <mergeCell ref="A38:C38"/>
    <mergeCell ref="I38:J38"/>
    <mergeCell ref="M38:N38"/>
    <mergeCell ref="A35:C35"/>
    <mergeCell ref="I35:J35"/>
    <mergeCell ref="M35:N35"/>
    <mergeCell ref="A36:C36"/>
    <mergeCell ref="I36:J36"/>
    <mergeCell ref="M36:N36"/>
    <mergeCell ref="F32:G32"/>
    <mergeCell ref="I32:J32"/>
    <mergeCell ref="K32:M32"/>
    <mergeCell ref="N32:O32"/>
    <mergeCell ref="A34:C34"/>
    <mergeCell ref="I34:J34"/>
    <mergeCell ref="M34:N34"/>
    <mergeCell ref="A29:C29"/>
    <mergeCell ref="I29:J29"/>
    <mergeCell ref="M29:N29"/>
    <mergeCell ref="A31:G31"/>
    <mergeCell ref="I31:J31"/>
    <mergeCell ref="K31:M31"/>
    <mergeCell ref="N31:O31"/>
    <mergeCell ref="A27:C27"/>
    <mergeCell ref="I27:J27"/>
    <mergeCell ref="M27:N27"/>
    <mergeCell ref="A28:C28"/>
    <mergeCell ref="I28:J28"/>
    <mergeCell ref="M28:N28"/>
    <mergeCell ref="A24:G24"/>
    <mergeCell ref="I24:J24"/>
    <mergeCell ref="K24:M24"/>
    <mergeCell ref="N24:O24"/>
    <mergeCell ref="F25:G25"/>
    <mergeCell ref="I25:J25"/>
    <mergeCell ref="K25:M25"/>
    <mergeCell ref="N25:O25"/>
    <mergeCell ref="A21:C21"/>
    <mergeCell ref="I21:J21"/>
    <mergeCell ref="M21:N21"/>
    <mergeCell ref="A22:C22"/>
    <mergeCell ref="I22:J22"/>
    <mergeCell ref="M22:N22"/>
    <mergeCell ref="A19:C19"/>
    <mergeCell ref="I19:J19"/>
    <mergeCell ref="M19:N19"/>
    <mergeCell ref="A20:C20"/>
    <mergeCell ref="I20:J20"/>
    <mergeCell ref="M20:N20"/>
    <mergeCell ref="A17:C17"/>
    <mergeCell ref="I17:J17"/>
    <mergeCell ref="M17:N17"/>
    <mergeCell ref="A18:C18"/>
    <mergeCell ref="I18:J18"/>
    <mergeCell ref="M18:N18"/>
    <mergeCell ref="A15:C15"/>
    <mergeCell ref="I15:J15"/>
    <mergeCell ref="M15:N15"/>
    <mergeCell ref="A16:C16"/>
    <mergeCell ref="I16:J16"/>
    <mergeCell ref="M16:N16"/>
    <mergeCell ref="F12:G12"/>
    <mergeCell ref="I12:J12"/>
    <mergeCell ref="K12:M12"/>
    <mergeCell ref="N12:O12"/>
    <mergeCell ref="A14:C14"/>
    <mergeCell ref="I14:J14"/>
    <mergeCell ref="M14:N14"/>
    <mergeCell ref="A11:G11"/>
    <mergeCell ref="I11:J11"/>
    <mergeCell ref="K11:M11"/>
    <mergeCell ref="N11:O11"/>
    <mergeCell ref="A7:C7"/>
    <mergeCell ref="I7:J7"/>
    <mergeCell ref="M7:N7"/>
    <mergeCell ref="A8:C8"/>
    <mergeCell ref="I8:J8"/>
    <mergeCell ref="M8:N8"/>
    <mergeCell ref="A1:O1"/>
    <mergeCell ref="C3:O3"/>
    <mergeCell ref="A5:C5"/>
    <mergeCell ref="I5:J5"/>
    <mergeCell ref="M5:N5"/>
    <mergeCell ref="A6:C6"/>
    <mergeCell ref="I6:J6"/>
    <mergeCell ref="M6:N6"/>
    <mergeCell ref="A9:C9"/>
    <mergeCell ref="I9:J9"/>
    <mergeCell ref="M9:N9"/>
  </mergeCells>
  <pageMargins left="0.3611111111111111" right="0.3611111111111111" top="0.3611111111111111" bottom="0.3611111111111111" header="0.3" footer="0.3"/>
  <pageSetup orientation="portrait" r:id="rId1"/>
  <rowBreaks count="2" manualBreakCount="2">
    <brk id="65" max="16383" man="1"/>
    <brk id="8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SAP</vt:lpstr>
      <vt:lpstr>Весы 08.11.2023</vt:lpstr>
      <vt:lpstr>Весы 07.11.2023</vt:lpstr>
      <vt:lpstr>Весы 06.11.2023</vt:lpstr>
      <vt:lpstr>Весы 04.11.2023</vt:lpstr>
      <vt:lpstr>Весы 03.11.2023</vt:lpstr>
      <vt:lpstr>Весы 02.11.2023</vt:lpstr>
      <vt:lpstr>Весы 01.11.2023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</cp:lastModifiedBy>
  <cp:revision>1</cp:revision>
  <dcterms:created xsi:type="dcterms:W3CDTF">2023-11-09T14:47:01Z</dcterms:created>
  <dcterms:modified xsi:type="dcterms:W3CDTF">2023-11-12T11:44:39Z</dcterms:modified>
  <cp:category/>
</cp:coreProperties>
</file>